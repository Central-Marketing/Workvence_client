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TEST EXECUTION SUMMARY" sheetId="2" state="visible" r:id="rId2"/>
    <sheet name="MODULE COVERAGE" sheetId="3" state="visible" r:id="rId3"/>
    <sheet name="DEFECT LOG" sheetId="4" state="visible" r:id="rId4"/>
    <sheet name="ROUTE INVENTORY" sheetId="5" state="visible" r:id="rId5"/>
    <sheet name="TEST DATA" sheetId="6" state="visible" r:id="rId6"/>
    <sheet name="READ ME" sheetId="7" state="visible" r:id="rId7"/>
  </sheets>
  <definedNames>
    <definedName name="_xlnm._FilterDatabase" localSheetId="0" hidden="1">'TEST CASES'!$A$1:$S$249</definedName>
    <definedName name="_xlnm._FilterDatabase" localSheetId="2" hidden="1">'MODULE COVERAGE'!$A$3:$J$15</definedName>
    <definedName name="_xlnm._FilterDatabase" localSheetId="3" hidden="1">'DEFECT LOG'!$A$3:$S$19</definedName>
    <definedName name="_xlnm._FilterDatabase" localSheetId="4" hidden="1">'ROUTE INVENTORY'!$A$3:$J$86</definedName>
    <definedName name="_xlnm._FilterDatabase" localSheetId="5" hidden="1">'TEST DATA'!$A$3:$I$14</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1"/>
    </font>
    <font>
      <name val="Calibri"/>
      <color rgb="001F2937"/>
      <sz val="10"/>
    </font>
    <font>
      <name val="Consolas"/>
      <b val="1"/>
      <color rgb="000D6D5F"/>
      <sz val="10"/>
    </font>
    <font>
      <name val="Calibri"/>
      <b val="1"/>
      <color rgb="00FFFFFF"/>
      <sz val="16"/>
    </font>
    <font>
      <name val="Calibri"/>
      <i val="1"/>
      <color rgb="00E5E7EB"/>
      <sz val="11"/>
    </font>
    <font>
      <name val="Calibri"/>
      <b val="1"/>
      <color rgb="00112131"/>
      <sz val="12"/>
    </font>
    <font>
      <name val="Calibri"/>
      <b val="1"/>
      <color rgb="001F2937"/>
      <sz val="11"/>
    </font>
    <font>
      <name val="Consolas"/>
      <color rgb="001F2937"/>
      <sz val="9"/>
    </font>
    <font>
      <name val="Calibri"/>
      <b val="1"/>
      <color rgb="00FFFFFF"/>
      <sz val="12"/>
    </font>
  </fonts>
  <fills count="5">
    <fill>
      <patternFill/>
    </fill>
    <fill>
      <patternFill patternType="gray125"/>
    </fill>
    <fill>
      <patternFill patternType="solid">
        <fgColor rgb="000D6D5F"/>
        <bgColor rgb="000D6D5F"/>
      </patternFill>
    </fill>
    <fill>
      <patternFill patternType="solid">
        <fgColor rgb="00F9FAFB"/>
        <bgColor rgb="00F9FAFB"/>
      </patternFill>
    </fill>
    <fill>
      <patternFill patternType="solid">
        <fgColor rgb="00112131"/>
        <bgColor rgb="0011213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4" fillId="2" borderId="0" applyAlignment="1" pivotButton="0" quotePrefix="0" xfId="0">
      <alignment horizontal="center" vertical="center"/>
    </xf>
    <xf numFmtId="0" fontId="5" fillId="4" borderId="0" applyAlignment="1" pivotButton="0" quotePrefix="0" xfId="0">
      <alignment horizontal="center" vertical="center"/>
    </xf>
    <xf numFmtId="0" fontId="6" fillId="0" borderId="0" pivotButton="0" quotePrefix="0" xfId="0"/>
    <xf numFmtId="0" fontId="7" fillId="0" borderId="1" applyAlignment="1" pivotButton="0" quotePrefix="0" xfId="0">
      <alignment horizontal="left" vertical="center"/>
    </xf>
    <xf numFmtId="0" fontId="7" fillId="0" borderId="1" applyAlignment="1" pivotButton="0" quotePrefix="0" xfId="0">
      <alignment horizontal="center" vertical="center"/>
    </xf>
    <xf numFmtId="164" fontId="2"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7" fillId="0" borderId="0" pivotButton="0" quotePrefix="0" xfId="0"/>
    <xf numFmtId="164" fontId="7" fillId="0" borderId="0" applyAlignment="1" pivotButton="0" quotePrefix="0" xfId="0">
      <alignment horizontal="center" vertical="center"/>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7" fillId="3" borderId="1" applyAlignment="1" pivotButton="0" quotePrefix="0" xfId="0">
      <alignment horizontal="center" vertical="center"/>
    </xf>
    <xf numFmtId="0" fontId="2" fillId="3" borderId="1" applyAlignment="1" pivotButton="0" quotePrefix="0" xfId="0">
      <alignment horizontal="center" vertical="center"/>
    </xf>
    <xf numFmtId="164" fontId="2" fillId="3" borderId="1" applyAlignment="1" pivotButton="0" quotePrefix="0" xfId="0">
      <alignment horizontal="center" vertical="center"/>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3" fillId="3" borderId="1" applyAlignment="1" pivotButton="0" quotePrefix="0" xfId="0">
      <alignment horizontal="left" vertical="center"/>
    </xf>
    <xf numFmtId="0" fontId="3" fillId="0" borderId="1" applyAlignment="1" pivotButton="0" quotePrefix="0" xfId="0">
      <alignment horizontal="left" vertical="center"/>
    </xf>
    <xf numFmtId="0" fontId="9" fillId="2" borderId="0" applyAlignment="1" pivotButton="0" quotePrefix="0" xfId="0">
      <alignment horizontal="left" vertical="center"/>
    </xf>
    <xf numFmtId="0" fontId="2" fillId="0" borderId="0" applyAlignment="1" pivotButton="0" quotePrefix="0" xfId="0">
      <alignment horizontal="left" vertical="center"/>
    </xf>
    <xf numFmtId="0" fontId="9" fillId="4" borderId="0" applyAlignment="1" pivotButton="0" quotePrefix="0" xfId="0">
      <alignment horizontal="left" vertical="center"/>
    </xf>
  </cellXfs>
  <cellStyles count="1">
    <cellStyle name="Normal" xfId="0" builtinId="0" hidden="0"/>
  </cellStyles>
  <dxfs count="4">
    <dxf>
      <font>
        <b val="1"/>
        <color rgb="000F5132"/>
      </font>
      <fill>
        <patternFill patternType="solid">
          <fgColor rgb="00D1E7DD"/>
          <bgColor rgb="00D1E7DD"/>
        </patternFill>
      </fill>
    </dxf>
    <dxf>
      <font>
        <b val="1"/>
        <color rgb="00842029"/>
      </font>
      <fill>
        <patternFill patternType="solid">
          <fgColor rgb="00F8D7DA"/>
          <bgColor rgb="00F8D7DA"/>
        </patternFill>
      </fill>
    </dxf>
    <dxf>
      <font>
        <b val="1"/>
        <color rgb="00664D03"/>
      </font>
      <fill>
        <patternFill patternType="solid">
          <fgColor rgb="00FFF3CD"/>
          <bgColor rgb="00FFF3CD"/>
        </patternFill>
      </fill>
    </dxf>
    <dxf>
      <font>
        <color rgb="00495057"/>
      </font>
      <fill>
        <patternFill patternType="solid">
          <fgColor rgb="00E9ECEF"/>
          <bgColor rgb="00E9EC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9"/>
  <sheetViews>
    <sheetView showGridLines="1" workbookViewId="0">
      <pane ySplit="1" topLeftCell="A2" activePane="bottomLeft" state="frozen"/>
      <selection pane="bottomLeft" activeCell="A1" sqref="A1"/>
    </sheetView>
  </sheetViews>
  <sheetFormatPr baseColWidth="8" defaultRowHeight="15"/>
  <cols>
    <col width="14" customWidth="1" min="1" max="1"/>
    <col width="24" customWidth="1" min="2" max="2"/>
    <col width="20" customWidth="1" min="3" max="3"/>
    <col width="22" customWidth="1" min="4" max="4"/>
    <col width="34" customWidth="1" min="5" max="5"/>
    <col width="28" customWidth="1" min="6" max="6"/>
    <col width="28" customWidth="1" min="7" max="7"/>
    <col width="40" customWidth="1" min="8" max="8"/>
    <col width="38" customWidth="1" min="9" max="9"/>
    <col width="12" customWidth="1" min="10" max="10"/>
    <col width="15" customWidth="1" min="11" max="11"/>
    <col width="14" customWidth="1" min="12" max="12"/>
    <col width="14" customWidth="1" min="13" max="13"/>
    <col width="14" customWidth="1" min="14" max="14"/>
    <col width="28" customWidth="1" min="15" max="15"/>
    <col width="14" customWidth="1" min="16" max="16"/>
    <col width="14" customWidth="1" min="17" max="17"/>
    <col width="14" customWidth="1" min="18" max="18"/>
    <col width="26" customWidth="1" min="19" max="19"/>
  </cols>
  <sheetData>
    <row r="1" ht="28" customHeight="1">
      <c r="A1" s="1" t="inlineStr">
        <is>
          <t>Test Case ID</t>
        </is>
      </c>
      <c r="B1" s="1" t="inlineStr">
        <is>
          <t>Module</t>
        </is>
      </c>
      <c r="C1" s="1" t="inlineStr">
        <is>
          <t>Page/Route</t>
        </is>
      </c>
      <c r="D1" s="1" t="inlineStr">
        <is>
          <t>Feature</t>
        </is>
      </c>
      <c r="E1" s="1" t="inlineStr">
        <is>
          <t>Test Scenario</t>
        </is>
      </c>
      <c r="F1" s="1" t="inlineStr">
        <is>
          <t>Preconditions</t>
        </is>
      </c>
      <c r="G1" s="1" t="inlineStr">
        <is>
          <t>Test Data</t>
        </is>
      </c>
      <c r="H1" s="1" t="inlineStr">
        <is>
          <t>Test Steps</t>
        </is>
      </c>
      <c r="I1" s="1" t="inlineStr">
        <is>
          <t>Expected Result</t>
        </is>
      </c>
      <c r="J1" s="1" t="inlineStr">
        <is>
          <t>Priority</t>
        </is>
      </c>
      <c r="K1" s="1" t="inlineStr">
        <is>
          <t>Test Type</t>
        </is>
      </c>
      <c r="L1" s="1" t="inlineStr">
        <is>
          <t>User Role</t>
        </is>
      </c>
      <c r="M1" s="1" t="inlineStr">
        <is>
          <t>Viewport</t>
        </is>
      </c>
      <c r="N1" s="1" t="inlineStr">
        <is>
          <t>Status</t>
        </is>
      </c>
      <c r="O1" s="1" t="inlineStr">
        <is>
          <t>Actual Result</t>
        </is>
      </c>
      <c r="P1" s="1" t="inlineStr">
        <is>
          <t>Defect ID</t>
        </is>
      </c>
      <c r="Q1" s="1" t="inlineStr">
        <is>
          <t>Tester</t>
        </is>
      </c>
      <c r="R1" s="1" t="inlineStr">
        <is>
          <t>Test Date</t>
        </is>
      </c>
      <c r="S1" s="1" t="inlineStr">
        <is>
          <t>Notes</t>
        </is>
      </c>
    </row>
    <row r="2" ht="65" customHeight="1">
      <c r="A2" s="2" t="inlineStr">
        <is>
          <t>AUTH-001</t>
        </is>
      </c>
      <c r="B2" s="3" t="inlineStr">
        <is>
          <t>Authentication &amp; Authorization</t>
        </is>
      </c>
      <c r="C2" s="3" t="inlineStr">
        <is>
          <t>/login</t>
        </is>
      </c>
      <c r="D2" s="3" t="inlineStr">
        <is>
          <t>User Login</t>
        </is>
      </c>
      <c r="E2" s="3" t="inlineStr">
        <is>
          <t>Login with valid registered Buyer credentials</t>
        </is>
      </c>
      <c r="F2" s="3" t="inlineStr">
        <is>
          <t>Verified buyer account exists in system.</t>
        </is>
      </c>
      <c r="G2" s="3" t="inlineStr">
        <is>
          <t>Email: 'buyer.qa@workvence.test', Password: '[PLACEHOLDER_SECURE_PASS_01]'</t>
        </is>
      </c>
      <c r="H2" s="3" t="inlineStr">
        <is>
          <t>1. Navigate to /login.
2. Enter valid email in 'Username / Email' field.
3. Enter valid password in 'Password' field.
4. Click 'Sign In' / 'Continue' button.</t>
        </is>
      </c>
      <c r="I2" s="3" t="inlineStr">
        <is>
          <t>User authenticates successfully; accessToken &amp; refreshToken cookies set; user store populated; redirected to /dashboard or /dashboard/buyer.</t>
        </is>
      </c>
      <c r="J2" s="4" t="inlineStr">
        <is>
          <t>P1</t>
        </is>
      </c>
      <c r="K2" s="4" t="inlineStr">
        <is>
          <t>Functional</t>
        </is>
      </c>
      <c r="L2" s="4" t="inlineStr">
        <is>
          <t>Guest</t>
        </is>
      </c>
      <c r="M2" s="4" t="inlineStr">
        <is>
          <t>Desktop</t>
        </is>
      </c>
      <c r="N2" s="4" t="inlineStr">
        <is>
          <t>Not Run</t>
        </is>
      </c>
      <c r="O2" s="3" t="inlineStr"/>
      <c r="P2" s="4" t="inlineStr"/>
      <c r="Q2" s="3" t="inlineStr"/>
      <c r="R2" s="4" t="inlineStr"/>
      <c r="S2" s="3" t="inlineStr">
        <is>
          <t>Core login flow for clients.</t>
        </is>
      </c>
    </row>
    <row r="3" ht="65" customHeight="1">
      <c r="A3" s="5" t="inlineStr">
        <is>
          <t>AUTH-002</t>
        </is>
      </c>
      <c r="B3" s="6" t="inlineStr">
        <is>
          <t>Authentication &amp; Authorization</t>
        </is>
      </c>
      <c r="C3" s="6" t="inlineStr">
        <is>
          <t>/login</t>
        </is>
      </c>
      <c r="D3" s="6" t="inlineStr">
        <is>
          <t>User Login</t>
        </is>
      </c>
      <c r="E3" s="6" t="inlineStr">
        <is>
          <t>Login with valid registered Seller credentials</t>
        </is>
      </c>
      <c r="F3" s="6" t="inlineStr">
        <is>
          <t>Verified seller account exists with isSeller: true.</t>
        </is>
      </c>
      <c r="G3" s="6" t="inlineStr">
        <is>
          <t>Email: 'seller.qa@workvence.test', Password: '[PLACEHOLDER_SECURE_PASS_02]'</t>
        </is>
      </c>
      <c r="H3" s="6" t="inlineStr">
        <is>
          <t>1. Navigate to /login.
2. Enter seller email and password.
3. Click 'Sign In' button.</t>
        </is>
      </c>
      <c r="I3" s="6" t="inlineStr">
        <is>
          <t>User authenticates successfully; isSeller cookie set to 'true'; redirected to /dashboard/seller or /dashboard.</t>
        </is>
      </c>
      <c r="J3" s="7" t="inlineStr">
        <is>
          <t>P1</t>
        </is>
      </c>
      <c r="K3" s="7" t="inlineStr">
        <is>
          <t>Functional</t>
        </is>
      </c>
      <c r="L3" s="7" t="inlineStr">
        <is>
          <t>Guest</t>
        </is>
      </c>
      <c r="M3" s="7" t="inlineStr">
        <is>
          <t>Desktop</t>
        </is>
      </c>
      <c r="N3" s="7" t="inlineStr">
        <is>
          <t>Not Run</t>
        </is>
      </c>
      <c r="O3" s="6" t="inlineStr"/>
      <c r="P3" s="7" t="inlineStr"/>
      <c r="Q3" s="6" t="inlineStr"/>
      <c r="R3" s="7" t="inlineStr"/>
      <c r="S3" s="6" t="inlineStr">
        <is>
          <t>Core login flow for freelancers.</t>
        </is>
      </c>
    </row>
    <row r="4" ht="65" customHeight="1">
      <c r="A4" s="2" t="inlineStr">
        <is>
          <t>AUTH-003</t>
        </is>
      </c>
      <c r="B4" s="3" t="inlineStr">
        <is>
          <t>Authentication &amp; Authorization</t>
        </is>
      </c>
      <c r="C4" s="3" t="inlineStr">
        <is>
          <t>/login</t>
        </is>
      </c>
      <c r="D4" s="3" t="inlineStr">
        <is>
          <t>Login Validation</t>
        </is>
      </c>
      <c r="E4" s="3" t="inlineStr">
        <is>
          <t>Attempt login with unregistered email address</t>
        </is>
      </c>
      <c r="F4" s="3" t="inlineStr">
        <is>
          <t>None.</t>
        </is>
      </c>
      <c r="G4" s="3" t="inlineStr">
        <is>
          <t>Email: 'unregistered.user.999@workvence.test', Password: 'SomePassword123!'</t>
        </is>
      </c>
      <c r="H4" s="3" t="inlineStr">
        <is>
          <t>1. Navigate to /login.
2. Enter unregistered email and dummy password.
3. Click 'Sign In' button.</t>
        </is>
      </c>
      <c r="I4" s="3" t="inlineStr">
        <is>
          <t>Login fails with HTTP 401/404; clear error toast notification ('Invalid credentials' or 'User not found') displayed; user remains on /login; password field cleared or highlighted.</t>
        </is>
      </c>
      <c r="J4" s="4" t="inlineStr">
        <is>
          <t>P1</t>
        </is>
      </c>
      <c r="K4" s="4" t="inlineStr">
        <is>
          <t>Negative</t>
        </is>
      </c>
      <c r="L4" s="4" t="inlineStr">
        <is>
          <t>Guest</t>
        </is>
      </c>
      <c r="M4" s="4" t="inlineStr">
        <is>
          <t>Desktop</t>
        </is>
      </c>
      <c r="N4" s="4" t="inlineStr">
        <is>
          <t>Not Run</t>
        </is>
      </c>
      <c r="O4" s="3" t="inlineStr"/>
      <c r="P4" s="4" t="inlineStr"/>
      <c r="Q4" s="3" t="inlineStr"/>
      <c r="R4" s="4" t="inlineStr"/>
      <c r="S4" s="3" t="inlineStr">
        <is>
          <t>Ensures unregistered users are denied entry.</t>
        </is>
      </c>
    </row>
    <row r="5" ht="65" customHeight="1">
      <c r="A5" s="5" t="inlineStr">
        <is>
          <t>AUTH-004</t>
        </is>
      </c>
      <c r="B5" s="6" t="inlineStr">
        <is>
          <t>Authentication &amp; Authorization</t>
        </is>
      </c>
      <c r="C5" s="6" t="inlineStr">
        <is>
          <t>/login</t>
        </is>
      </c>
      <c r="D5" s="6" t="inlineStr">
        <is>
          <t>Login Validation</t>
        </is>
      </c>
      <c r="E5" s="6" t="inlineStr">
        <is>
          <t>Attempt login with incorrect password for existing account</t>
        </is>
      </c>
      <c r="F5" s="6" t="inlineStr">
        <is>
          <t>Verified account exists.</t>
        </is>
      </c>
      <c r="G5" s="6" t="inlineStr">
        <is>
          <t>Email: 'buyer.qa@workvence.test', Password: 'WrongPassword999!'</t>
        </is>
      </c>
      <c r="H5" s="6" t="inlineStr">
        <is>
          <t>1. Navigate to /login.
2. Enter existing email and wrong password.
3. Click 'Sign In' button.</t>
        </is>
      </c>
      <c r="I5" s="6" t="inlineStr">
        <is>
          <t>Login fails; error toast 'Invalid email or password' displayed; no tokens set; form allows retry.</t>
        </is>
      </c>
      <c r="J5" s="7" t="inlineStr">
        <is>
          <t>P1</t>
        </is>
      </c>
      <c r="K5" s="7" t="inlineStr">
        <is>
          <t>Negative</t>
        </is>
      </c>
      <c r="L5" s="7" t="inlineStr">
        <is>
          <t>Guest</t>
        </is>
      </c>
      <c r="M5" s="7" t="inlineStr">
        <is>
          <t>Desktop</t>
        </is>
      </c>
      <c r="N5" s="7" t="inlineStr">
        <is>
          <t>Not Run</t>
        </is>
      </c>
      <c r="O5" s="6" t="inlineStr"/>
      <c r="P5" s="7" t="inlineStr"/>
      <c r="Q5" s="6" t="inlineStr"/>
      <c r="R5" s="7" t="inlineStr"/>
      <c r="S5" s="6" t="inlineStr">
        <is>
          <t>Security test against bad password entry.</t>
        </is>
      </c>
    </row>
    <row r="6" ht="65" customHeight="1">
      <c r="A6" s="2" t="inlineStr">
        <is>
          <t>AUTH-005</t>
        </is>
      </c>
      <c r="B6" s="3" t="inlineStr">
        <is>
          <t>Authentication &amp; Authorization</t>
        </is>
      </c>
      <c r="C6" s="3" t="inlineStr">
        <is>
          <t>/login</t>
        </is>
      </c>
      <c r="D6" s="3" t="inlineStr">
        <is>
          <t>Login Form Validation</t>
        </is>
      </c>
      <c r="E6" s="3" t="inlineStr">
        <is>
          <t>Submit login form with blank fields</t>
        </is>
      </c>
      <c r="F6" s="3" t="inlineStr">
        <is>
          <t>None.</t>
        </is>
      </c>
      <c r="G6" s="3" t="inlineStr">
        <is>
          <t>Email: '', Password: ''</t>
        </is>
      </c>
      <c r="H6" s="3" t="inlineStr">
        <is>
          <t>1. Navigate to /login.
2. Leave email and password blank.
3. Click 'Sign In' button.</t>
        </is>
      </c>
      <c r="I6" s="3" t="inlineStr">
        <is>
          <t>Form submission blocked by client-side HTML5 / form validation; required field indicators appear; no network request dispatched.</t>
        </is>
      </c>
      <c r="J6" s="4" t="inlineStr">
        <is>
          <t>P2</t>
        </is>
      </c>
      <c r="K6" s="4" t="inlineStr">
        <is>
          <t>Boundary</t>
        </is>
      </c>
      <c r="L6" s="4" t="inlineStr">
        <is>
          <t>Guest</t>
        </is>
      </c>
      <c r="M6" s="4" t="inlineStr">
        <is>
          <t>Desktop</t>
        </is>
      </c>
      <c r="N6" s="4" t="inlineStr">
        <is>
          <t>Not Run</t>
        </is>
      </c>
      <c r="O6" s="3" t="inlineStr"/>
      <c r="P6" s="4" t="inlineStr"/>
      <c r="Q6" s="3" t="inlineStr"/>
      <c r="R6" s="4" t="inlineStr"/>
      <c r="S6" s="3" t="inlineStr">
        <is>
          <t>Validates front-end form guards.</t>
        </is>
      </c>
    </row>
    <row r="7" ht="65" customHeight="1">
      <c r="A7" s="5" t="inlineStr">
        <is>
          <t>AUTH-006</t>
        </is>
      </c>
      <c r="B7" s="6" t="inlineStr">
        <is>
          <t>Authentication &amp; Authorization</t>
        </is>
      </c>
      <c r="C7" s="6" t="inlineStr">
        <is>
          <t>/login</t>
        </is>
      </c>
      <c r="D7" s="6" t="inlineStr">
        <is>
          <t>Login Form Validation</t>
        </is>
      </c>
      <c r="E7" s="6" t="inlineStr">
        <is>
          <t>Attempt login with invalid email format (missing @ and domain)</t>
        </is>
      </c>
      <c r="F7" s="6" t="inlineStr">
        <is>
          <t>None.</t>
        </is>
      </c>
      <c r="G7" s="6" t="inlineStr">
        <is>
          <t>Email: 'plainaddress', Password: 'Password123!'</t>
        </is>
      </c>
      <c r="H7" s="6" t="inlineStr">
        <is>
          <t>1. Navigate to /login.
2. Enter 'plainaddress' in email field.
3. Enter valid password format.
4. Click 'Sign In' button.</t>
        </is>
      </c>
      <c r="I7" s="6" t="inlineStr">
        <is>
          <t>HTML5/Zod email format validation error shown ('Please enter a valid email address'); submission blocked.</t>
        </is>
      </c>
      <c r="J7" s="7" t="inlineStr">
        <is>
          <t>P2</t>
        </is>
      </c>
      <c r="K7" s="7" t="inlineStr">
        <is>
          <t>Negative</t>
        </is>
      </c>
      <c r="L7" s="7" t="inlineStr">
        <is>
          <t>Guest</t>
        </is>
      </c>
      <c r="M7" s="7" t="inlineStr">
        <is>
          <t>Desktop</t>
        </is>
      </c>
      <c r="N7" s="7" t="inlineStr">
        <is>
          <t>Not Run</t>
        </is>
      </c>
      <c r="O7" s="6" t="inlineStr"/>
      <c r="P7" s="7" t="inlineStr"/>
      <c r="Q7" s="6" t="inlineStr"/>
      <c r="R7" s="7" t="inlineStr"/>
      <c r="S7" s="6" t="inlineStr">
        <is>
          <t>Syntax format validation.</t>
        </is>
      </c>
    </row>
    <row r="8" ht="65" customHeight="1">
      <c r="A8" s="2" t="inlineStr">
        <is>
          <t>AUTH-007</t>
        </is>
      </c>
      <c r="B8" s="3" t="inlineStr">
        <is>
          <t>Authentication &amp; Authorization</t>
        </is>
      </c>
      <c r="C8" s="3" t="inlineStr">
        <is>
          <t>/register</t>
        </is>
      </c>
      <c r="D8" s="3" t="inlineStr">
        <is>
          <t>Buyer Registration</t>
        </is>
      </c>
      <c r="E8" s="3" t="inlineStr">
        <is>
          <t>Register a new Buyer account with valid information</t>
        </is>
      </c>
      <c r="F8" s="3" t="inlineStr">
        <is>
          <t>Unique test email not currently registered in database.</t>
        </is>
      </c>
      <c r="G8" s="3" t="inlineStr">
        <is>
          <t>Username: 'newbuyer_101', Email: 'newbuyer101@workvence.test', Password: 'ValidPass123!@'</t>
        </is>
      </c>
      <c r="H8" s="3" t="inlineStr">
        <is>
          <t>1. Navigate to /register.
2. Enter username, email, and strong password.
3. Accept terms and conditions.
4. Click 'Create Account'.</t>
        </is>
      </c>
      <c r="I8" s="3" t="inlineStr">
        <is>
          <t>Account created successfully (HTTP 201); verification email notice or automatic login occurs; user redirected to /dashboard/buyer or /verify-email.</t>
        </is>
      </c>
      <c r="J8" s="4" t="inlineStr">
        <is>
          <t>P1</t>
        </is>
      </c>
      <c r="K8" s="4" t="inlineStr">
        <is>
          <t>Functional</t>
        </is>
      </c>
      <c r="L8" s="4" t="inlineStr">
        <is>
          <t>Guest</t>
        </is>
      </c>
      <c r="M8" s="4" t="inlineStr">
        <is>
          <t>Desktop</t>
        </is>
      </c>
      <c r="N8" s="4" t="inlineStr">
        <is>
          <t>Not Run</t>
        </is>
      </c>
      <c r="O8" s="3" t="inlineStr"/>
      <c r="P8" s="4" t="inlineStr"/>
      <c r="Q8" s="3" t="inlineStr"/>
      <c r="R8" s="4" t="inlineStr"/>
      <c r="S8" s="3" t="inlineStr">
        <is>
          <t>Standard buyer signup pipeline.</t>
        </is>
      </c>
    </row>
    <row r="9" ht="65" customHeight="1">
      <c r="A9" s="5" t="inlineStr">
        <is>
          <t>AUTH-008</t>
        </is>
      </c>
      <c r="B9" s="6" t="inlineStr">
        <is>
          <t>Authentication &amp; Authorization</t>
        </is>
      </c>
      <c r="C9" s="6" t="inlineStr">
        <is>
          <t>/register</t>
        </is>
      </c>
      <c r="D9" s="6" t="inlineStr">
        <is>
          <t>Seller Registration Intent</t>
        </is>
      </c>
      <c r="E9" s="6" t="inlineStr">
        <is>
          <t>Register with Seller onboarding intent via /register?seller=true</t>
        </is>
      </c>
      <c r="F9" s="6" t="inlineStr">
        <is>
          <t>Unique test email.</t>
        </is>
      </c>
      <c r="G9" s="6" t="inlineStr">
        <is>
          <t>Username: 'newseller_202', Email: 'newseller202@workvence.test', Password: 'ValidPass123!@'</t>
        </is>
      </c>
      <c r="H9" s="6" t="inlineStr">
        <is>
          <t>1. Navigate to /register?seller=true (or click 'Become a Seller' CTA).
2. Verify seller-focused banner / onboarding copy is displayed.
3. Complete registration form and submit.</t>
        </is>
      </c>
      <c r="I9" s="6" t="inlineStr">
        <is>
          <t>Account registered with seller role flags initialized; user redirected to seller onboarding, /organize, or /kyc.</t>
        </is>
      </c>
      <c r="J9" s="7" t="inlineStr">
        <is>
          <t>P1</t>
        </is>
      </c>
      <c r="K9" s="7" t="inlineStr">
        <is>
          <t>Functional</t>
        </is>
      </c>
      <c r="L9" s="7" t="inlineStr">
        <is>
          <t>Guest</t>
        </is>
      </c>
      <c r="M9" s="7" t="inlineStr">
        <is>
          <t>Desktop</t>
        </is>
      </c>
      <c r="N9" s="7" t="inlineStr">
        <is>
          <t>Not Run</t>
        </is>
      </c>
      <c r="O9" s="6" t="inlineStr"/>
      <c r="P9" s="7" t="inlineStr"/>
      <c r="Q9" s="6" t="inlineStr"/>
      <c r="R9" s="7" t="inlineStr"/>
      <c r="S9" s="6" t="inlineStr">
        <is>
          <t>Direct seller onboarding path.</t>
        </is>
      </c>
    </row>
    <row r="10" ht="65" customHeight="1">
      <c r="A10" s="2" t="inlineStr">
        <is>
          <t>AUTH-009</t>
        </is>
      </c>
      <c r="B10" s="3" t="inlineStr">
        <is>
          <t>Authentication &amp; Authorization</t>
        </is>
      </c>
      <c r="C10" s="3" t="inlineStr">
        <is>
          <t>/register</t>
        </is>
      </c>
      <c r="D10" s="3" t="inlineStr">
        <is>
          <t>Registration Validation</t>
        </is>
      </c>
      <c r="E10" s="3" t="inlineStr">
        <is>
          <t>Attempt registration with already registered email address</t>
        </is>
      </c>
      <c r="F10" s="3" t="inlineStr">
        <is>
          <t>Account with email 'buyer.qa@workvence.test' already exists.</t>
        </is>
      </c>
      <c r="G10" s="3" t="inlineStr">
        <is>
          <t>Email: 'buyer.qa@workvence.test', Username: 'duplicate_user', Password: 'Password123!'</t>
        </is>
      </c>
      <c r="H10" s="3" t="inlineStr">
        <is>
          <t>1. Navigate to /register.
2. Enter existing email address.
3. Fill valid username and password.
4. Submit form.</t>
        </is>
      </c>
      <c r="I10" s="3" t="inlineStr">
        <is>
          <t>Registration rejected with HTTP 409 / error toast ('Email already in use'); clear message advises user to log in instead.</t>
        </is>
      </c>
      <c r="J10" s="4" t="inlineStr">
        <is>
          <t>P1</t>
        </is>
      </c>
      <c r="K10" s="4" t="inlineStr">
        <is>
          <t>Negative</t>
        </is>
      </c>
      <c r="L10" s="4" t="inlineStr">
        <is>
          <t>Guest</t>
        </is>
      </c>
      <c r="M10" s="4" t="inlineStr">
        <is>
          <t>Desktop</t>
        </is>
      </c>
      <c r="N10" s="4" t="inlineStr">
        <is>
          <t>Not Run</t>
        </is>
      </c>
      <c r="O10" s="3" t="inlineStr"/>
      <c r="P10" s="4" t="inlineStr"/>
      <c r="Q10" s="3" t="inlineStr"/>
      <c r="R10" s="4" t="inlineStr"/>
      <c r="S10" s="3" t="inlineStr">
        <is>
          <t>Duplicate account prevention.</t>
        </is>
      </c>
    </row>
    <row r="11" ht="65" customHeight="1">
      <c r="A11" s="5" t="inlineStr">
        <is>
          <t>AUTH-010</t>
        </is>
      </c>
      <c r="B11" s="6" t="inlineStr">
        <is>
          <t>Authentication &amp; Authorization</t>
        </is>
      </c>
      <c r="C11" s="6" t="inlineStr">
        <is>
          <t>/register</t>
        </is>
      </c>
      <c r="D11" s="6" t="inlineStr">
        <is>
          <t>Password Strength</t>
        </is>
      </c>
      <c r="E11" s="6" t="inlineStr">
        <is>
          <t>Attempt registration with weak password (under 8 characters, no symbols)</t>
        </is>
      </c>
      <c r="F11" s="6" t="inlineStr">
        <is>
          <t>None.</t>
        </is>
      </c>
      <c r="G11" s="6" t="inlineStr">
        <is>
          <t>Password: '123'</t>
        </is>
      </c>
      <c r="H11" s="6" t="inlineStr">
        <is>
          <t>1. Navigate to /register.
2. Fill username and email.
3. Enter '123' in password field.
4. Click Submit.</t>
        </is>
      </c>
      <c r="I11" s="6" t="inlineStr">
        <is>
          <t>Client validation blocks submission; password requirements checklist highlights missing criteria (min 8 chars, numbers, symbols).</t>
        </is>
      </c>
      <c r="J11" s="7" t="inlineStr">
        <is>
          <t>P2</t>
        </is>
      </c>
      <c r="K11" s="7" t="inlineStr">
        <is>
          <t>Boundary</t>
        </is>
      </c>
      <c r="L11" s="7" t="inlineStr">
        <is>
          <t>Guest</t>
        </is>
      </c>
      <c r="M11" s="7" t="inlineStr">
        <is>
          <t>Desktop</t>
        </is>
      </c>
      <c r="N11" s="7" t="inlineStr">
        <is>
          <t>Not Run</t>
        </is>
      </c>
      <c r="O11" s="6" t="inlineStr"/>
      <c r="P11" s="7" t="inlineStr"/>
      <c r="Q11" s="6" t="inlineStr"/>
      <c r="R11" s="7" t="inlineStr"/>
      <c r="S11" s="6" t="inlineStr">
        <is>
          <t>Password security compliance.</t>
        </is>
      </c>
    </row>
    <row r="12" ht="65" customHeight="1">
      <c r="A12" s="2" t="inlineStr">
        <is>
          <t>AUTH-011</t>
        </is>
      </c>
      <c r="B12" s="3" t="inlineStr">
        <is>
          <t>Authentication &amp; Authorization</t>
        </is>
      </c>
      <c r="C12" s="3" t="inlineStr">
        <is>
          <t>/forgot-password</t>
        </is>
      </c>
      <c r="D12" s="3" t="inlineStr">
        <is>
          <t>Password Reset Request</t>
        </is>
      </c>
      <c r="E12" s="3" t="inlineStr">
        <is>
          <t>Request password reset link for registered email</t>
        </is>
      </c>
      <c r="F12" s="3" t="inlineStr">
        <is>
          <t>Registered account exists for buyer.qa@workvence.test.</t>
        </is>
      </c>
      <c r="G12" s="3" t="inlineStr">
        <is>
          <t>Email: 'buyer.qa@workvence.test'</t>
        </is>
      </c>
      <c r="H12" s="3" t="inlineStr">
        <is>
          <t>1. Navigate to /forgot-password.
2. Enter registered email address.
3. Click 'Send Reset Link' / 'Continue'.</t>
        </is>
      </c>
      <c r="I12" s="3" t="inlineStr">
        <is>
          <t>API dispatches POST /auth/forgot-password (HTTP 200/201); success message displays: 'Password reset link sent to your email'.</t>
        </is>
      </c>
      <c r="J12" s="4" t="inlineStr">
        <is>
          <t>P1</t>
        </is>
      </c>
      <c r="K12" s="4" t="inlineStr">
        <is>
          <t>Functional</t>
        </is>
      </c>
      <c r="L12" s="4" t="inlineStr">
        <is>
          <t>Guest</t>
        </is>
      </c>
      <c r="M12" s="4" t="inlineStr">
        <is>
          <t>Desktop</t>
        </is>
      </c>
      <c r="N12" s="4" t="inlineStr">
        <is>
          <t>Not Run</t>
        </is>
      </c>
      <c r="O12" s="3" t="inlineStr"/>
      <c r="P12" s="4" t="inlineStr"/>
      <c r="Q12" s="3" t="inlineStr"/>
      <c r="R12" s="4" t="inlineStr"/>
      <c r="S12" s="3" t="inlineStr">
        <is>
          <t>Self-service recovery.</t>
        </is>
      </c>
    </row>
    <row r="13" ht="65" customHeight="1">
      <c r="A13" s="5" t="inlineStr">
        <is>
          <t>AUTH-012</t>
        </is>
      </c>
      <c r="B13" s="6" t="inlineStr">
        <is>
          <t>Authentication &amp; Authorization</t>
        </is>
      </c>
      <c r="C13" s="6" t="inlineStr">
        <is>
          <t>/forgot-password</t>
        </is>
      </c>
      <c r="D13" s="6" t="inlineStr">
        <is>
          <t>Password Reset Request</t>
        </is>
      </c>
      <c r="E13" s="6" t="inlineStr">
        <is>
          <t>Request password reset for non-existent email</t>
        </is>
      </c>
      <c r="F13" s="6" t="inlineStr">
        <is>
          <t>None.</t>
        </is>
      </c>
      <c r="G13" s="6" t="inlineStr">
        <is>
          <t>Email: 'ghost.email.never.registered@workvence.test'</t>
        </is>
      </c>
      <c r="H13" s="6" t="inlineStr">
        <is>
          <t>1. Navigate to /forgot-password.
2. Enter unregistered email.
3. Click Continue.</t>
        </is>
      </c>
      <c r="I13" s="6" t="inlineStr">
        <is>
          <t>Generic safe confirmation shown to prevent user enumeration OR clear error message; no server crash (500).</t>
        </is>
      </c>
      <c r="J13" s="7" t="inlineStr">
        <is>
          <t>P2</t>
        </is>
      </c>
      <c r="K13" s="7" t="inlineStr">
        <is>
          <t>Negative</t>
        </is>
      </c>
      <c r="L13" s="7" t="inlineStr">
        <is>
          <t>Guest</t>
        </is>
      </c>
      <c r="M13" s="7" t="inlineStr">
        <is>
          <t>Desktop</t>
        </is>
      </c>
      <c r="N13" s="7" t="inlineStr">
        <is>
          <t>Not Run</t>
        </is>
      </c>
      <c r="O13" s="6" t="inlineStr"/>
      <c r="P13" s="7" t="inlineStr"/>
      <c r="Q13" s="6" t="inlineStr"/>
      <c r="R13" s="7" t="inlineStr"/>
      <c r="S13" s="6" t="inlineStr">
        <is>
          <t>Security enumeration safeguard.</t>
        </is>
      </c>
    </row>
    <row r="14" ht="65" customHeight="1">
      <c r="A14" s="2" t="inlineStr">
        <is>
          <t>AUTH-013</t>
        </is>
      </c>
      <c r="B14" s="3" t="inlineStr">
        <is>
          <t>Authentication &amp; Authorization</t>
        </is>
      </c>
      <c r="C14" s="3" t="inlineStr">
        <is>
          <t>/reset-password</t>
        </is>
      </c>
      <c r="D14" s="3" t="inlineStr">
        <is>
          <t>Password Reset Execution</t>
        </is>
      </c>
      <c r="E14" s="3" t="inlineStr">
        <is>
          <t>Set new password using valid reset token query parameter</t>
        </is>
      </c>
      <c r="F14" s="3" t="inlineStr">
        <is>
          <t>Valid reset token generated from forgot-password flow.</t>
        </is>
      </c>
      <c r="G14" s="3" t="inlineStr">
        <is>
          <t>URL: /reset-password?token=VALID_RESET_TOKEN, New Password: 'BrandNewSecurePass2026!'</t>
        </is>
      </c>
      <c r="H14" s="3" t="inlineStr">
        <is>
          <t>1. Open /reset-password?token=VALID_RESET_TOKEN.
2. Enter new password in password and confirm password fields.
3. Submit form.</t>
        </is>
      </c>
      <c r="I14" s="3" t="inlineStr">
        <is>
          <t>Password updated successfully; success notification confirms change; user redirected to /login; old password no longer works.</t>
        </is>
      </c>
      <c r="J14" s="4" t="inlineStr">
        <is>
          <t>P1</t>
        </is>
      </c>
      <c r="K14" s="4" t="inlineStr">
        <is>
          <t>Functional</t>
        </is>
      </c>
      <c r="L14" s="4" t="inlineStr">
        <is>
          <t>Guest</t>
        </is>
      </c>
      <c r="M14" s="4" t="inlineStr">
        <is>
          <t>Desktop</t>
        </is>
      </c>
      <c r="N14" s="4" t="inlineStr">
        <is>
          <t>Not Run</t>
        </is>
      </c>
      <c r="O14" s="3" t="inlineStr"/>
      <c r="P14" s="4" t="inlineStr"/>
      <c r="Q14" s="3" t="inlineStr"/>
      <c r="R14" s="4" t="inlineStr"/>
      <c r="S14" s="3" t="inlineStr">
        <is>
          <t>Password update completion.</t>
        </is>
      </c>
    </row>
    <row r="15" ht="65" customHeight="1">
      <c r="A15" s="5" t="inlineStr">
        <is>
          <t>AUTH-014</t>
        </is>
      </c>
      <c r="B15" s="6" t="inlineStr">
        <is>
          <t>Authentication &amp; Authorization</t>
        </is>
      </c>
      <c r="C15" s="6" t="inlineStr">
        <is>
          <t>/reset-password</t>
        </is>
      </c>
      <c r="D15" s="6" t="inlineStr">
        <is>
          <t>Password Reset Validation</t>
        </is>
      </c>
      <c r="E15" s="6" t="inlineStr">
        <is>
          <t>Attempt password reset with mismatched confirmation password</t>
        </is>
      </c>
      <c r="F15" s="6" t="inlineStr">
        <is>
          <t>Valid reset token.</t>
        </is>
      </c>
      <c r="G15" s="6" t="inlineStr">
        <is>
          <t>Password: 'PasswordOne1!', Confirm Password: 'PasswordTwo2!'</t>
        </is>
      </c>
      <c r="H15" s="6" t="inlineStr">
        <is>
          <t>1. Navigate to /reset-password?token=VALID_TOKEN.
2. Enter mismatched passwords.
3. Click Submit.</t>
        </is>
      </c>
      <c r="I15" s="6" t="inlineStr">
        <is>
          <t>Submission blocked; inline error 'Passwords do not match' displayed; no network request dispatched.</t>
        </is>
      </c>
      <c r="J15" s="7" t="inlineStr">
        <is>
          <t>P2</t>
        </is>
      </c>
      <c r="K15" s="7" t="inlineStr">
        <is>
          <t>Negative</t>
        </is>
      </c>
      <c r="L15" s="7" t="inlineStr">
        <is>
          <t>Guest</t>
        </is>
      </c>
      <c r="M15" s="7" t="inlineStr">
        <is>
          <t>Desktop</t>
        </is>
      </c>
      <c r="N15" s="7" t="inlineStr">
        <is>
          <t>Not Run</t>
        </is>
      </c>
      <c r="O15" s="6" t="inlineStr"/>
      <c r="P15" s="7" t="inlineStr"/>
      <c r="Q15" s="6" t="inlineStr"/>
      <c r="R15" s="7" t="inlineStr"/>
      <c r="S15" s="6" t="inlineStr">
        <is>
          <t>Input confirmation safeguard.</t>
        </is>
      </c>
    </row>
    <row r="16" ht="65" customHeight="1">
      <c r="A16" s="2" t="inlineStr">
        <is>
          <t>AUTH-015</t>
        </is>
      </c>
      <c r="B16" s="3" t="inlineStr">
        <is>
          <t>Authentication &amp; Authorization</t>
        </is>
      </c>
      <c r="C16" s="3" t="inlineStr">
        <is>
          <t>/reset-password</t>
        </is>
      </c>
      <c r="D16" s="3" t="inlineStr">
        <is>
          <t>Password Reset Validation</t>
        </is>
      </c>
      <c r="E16" s="3" t="inlineStr">
        <is>
          <t>Access /reset-password with missing or expired token</t>
        </is>
      </c>
      <c r="F16" s="3" t="inlineStr">
        <is>
          <t>None.</t>
        </is>
      </c>
      <c r="G16" s="3" t="inlineStr">
        <is>
          <t>URL: /reset-password?token=EXPIRED_OR_INVALID_TOKEN</t>
        </is>
      </c>
      <c r="H16" s="3" t="inlineStr">
        <is>
          <t>1. Navigate to /reset-password with invalid token.
2. Attempt to submit new password.</t>
        </is>
      </c>
      <c r="I16" s="3" t="inlineStr">
        <is>
          <t>Application displays 'Invalid or expired reset link' alert with CTA button to request a new link at /forgot-password.</t>
        </is>
      </c>
      <c r="J16" s="4" t="inlineStr">
        <is>
          <t>P2</t>
        </is>
      </c>
      <c r="K16" s="4" t="inlineStr">
        <is>
          <t>Negative</t>
        </is>
      </c>
      <c r="L16" s="4" t="inlineStr">
        <is>
          <t>Guest</t>
        </is>
      </c>
      <c r="M16" s="4" t="inlineStr">
        <is>
          <t>Desktop</t>
        </is>
      </c>
      <c r="N16" s="4" t="inlineStr">
        <is>
          <t>Not Run</t>
        </is>
      </c>
      <c r="O16" s="3" t="inlineStr"/>
      <c r="P16" s="4" t="inlineStr"/>
      <c r="Q16" s="3" t="inlineStr"/>
      <c r="R16" s="4" t="inlineStr"/>
      <c r="S16" s="3" t="inlineStr">
        <is>
          <t>Token expiration verification.</t>
        </is>
      </c>
    </row>
    <row r="17" ht="65" customHeight="1">
      <c r="A17" s="5" t="inlineStr">
        <is>
          <t>AUTH-016</t>
        </is>
      </c>
      <c r="B17" s="6" t="inlineStr">
        <is>
          <t>Authentication &amp; Authorization</t>
        </is>
      </c>
      <c r="C17" s="6" t="inlineStr">
        <is>
          <t>/verify-email</t>
        </is>
      </c>
      <c r="D17" s="6" t="inlineStr">
        <is>
          <t>Email Verification</t>
        </is>
      </c>
      <c r="E17" s="6" t="inlineStr">
        <is>
          <t>Verify email with valid activation token</t>
        </is>
      </c>
      <c r="F17" s="6" t="inlineStr">
        <is>
          <t>Unverified account with pending activation token.</t>
        </is>
      </c>
      <c r="G17" s="6" t="inlineStr">
        <is>
          <t>URL: /verify-email?token=VALID_ACTIVATION_TOKEN</t>
        </is>
      </c>
      <c r="H17" s="6" t="inlineStr">
        <is>
          <t>1. Navigate to verification URL.
2. Wait for verification verification call to process.</t>
        </is>
      </c>
      <c r="I17" s="6" t="inlineStr">
        <is>
          <t>Account status updated to isVerified: true; success banner displayed; user can now access restricted marketplace actions.</t>
        </is>
      </c>
      <c r="J17" s="7" t="inlineStr">
        <is>
          <t>P1</t>
        </is>
      </c>
      <c r="K17" s="7" t="inlineStr">
        <is>
          <t>Functional</t>
        </is>
      </c>
      <c r="L17" s="7" t="inlineStr">
        <is>
          <t>Guest / User</t>
        </is>
      </c>
      <c r="M17" s="7" t="inlineStr">
        <is>
          <t>Desktop</t>
        </is>
      </c>
      <c r="N17" s="7" t="inlineStr">
        <is>
          <t>Not Run</t>
        </is>
      </c>
      <c r="O17" s="6" t="inlineStr"/>
      <c r="P17" s="7" t="inlineStr"/>
      <c r="Q17" s="6" t="inlineStr"/>
      <c r="R17" s="7" t="inlineStr"/>
      <c r="S17" s="6" t="inlineStr">
        <is>
          <t>Email verification completion.</t>
        </is>
      </c>
    </row>
    <row r="18" ht="65" customHeight="1">
      <c r="A18" s="2" t="inlineStr">
        <is>
          <t>AUTH-017</t>
        </is>
      </c>
      <c r="B18" s="3" t="inlineStr">
        <is>
          <t>Authentication &amp; Authorization</t>
        </is>
      </c>
      <c r="C18" s="3" t="inlineStr">
        <is>
          <t>Global Navigation</t>
        </is>
      </c>
      <c r="D18" s="3" t="inlineStr">
        <is>
          <t>User Logout</t>
        </is>
      </c>
      <c r="E18" s="3" t="inlineStr">
        <is>
          <t>Log out of active authenticated session</t>
        </is>
      </c>
      <c r="F18" s="3" t="inlineStr">
        <is>
          <t>User logged in as Buyer or Seller.</t>
        </is>
      </c>
      <c r="G18" s="3" t="inlineStr">
        <is>
          <t>None.</t>
        </is>
      </c>
      <c r="H18" s="3" t="inlineStr">
        <is>
          <t>1. Click user avatar in top-right navbar dropdown.
2. Click 'Log Out'.
3. Confirm logout action if prompted.</t>
        </is>
      </c>
      <c r="I18" s="3" t="inlineStr">
        <is>
          <t>User logged out; accessToken, refreshToken, user, isSeller, role cookies deleted; localStorage cleared; redirected to /login or /.</t>
        </is>
      </c>
      <c r="J18" s="4" t="inlineStr">
        <is>
          <t>P1</t>
        </is>
      </c>
      <c r="K18" s="4" t="inlineStr">
        <is>
          <t>Functional</t>
        </is>
      </c>
      <c r="L18" s="4" t="inlineStr">
        <is>
          <t>Buyer / Seller</t>
        </is>
      </c>
      <c r="M18" s="4" t="inlineStr">
        <is>
          <t>Desktop</t>
        </is>
      </c>
      <c r="N18" s="4" t="inlineStr">
        <is>
          <t>Not Run</t>
        </is>
      </c>
      <c r="O18" s="3" t="inlineStr"/>
      <c r="P18" s="4" t="inlineStr"/>
      <c r="Q18" s="3" t="inlineStr"/>
      <c r="R18" s="4" t="inlineStr"/>
      <c r="S18" s="3" t="inlineStr">
        <is>
          <t>Clean session termination.</t>
        </is>
      </c>
    </row>
    <row r="19" ht="65" customHeight="1">
      <c r="A19" s="5" t="inlineStr">
        <is>
          <t>AUTH-018</t>
        </is>
      </c>
      <c r="B19" s="6" t="inlineStr">
        <is>
          <t>Authentication &amp; Authorization</t>
        </is>
      </c>
      <c r="C19" s="6" t="inlineStr">
        <is>
          <t>/login</t>
        </is>
      </c>
      <c r="D19" s="6" t="inlineStr">
        <is>
          <t>Session Persistence</t>
        </is>
      </c>
      <c r="E19" s="6" t="inlineStr">
        <is>
          <t>Verify session remains active across hard page refresh (F5)</t>
        </is>
      </c>
      <c r="F19" s="6" t="inlineStr">
        <is>
          <t>User is logged in on /dashboard.</t>
        </is>
      </c>
      <c r="G19" s="6" t="inlineStr">
        <is>
          <t>None.</t>
        </is>
      </c>
      <c r="H19" s="6" t="inlineStr">
        <is>
          <t>1. While logged in, trigger hard reload (Ctrl+F5 or browser refresh).
2. Inspect navbar and page state.</t>
        </is>
      </c>
      <c r="I19" s="6" t="inlineStr">
        <is>
          <t>User remains fully authenticated; avatar and account menu visible; no redirect to /login; user state restored from cookies/localStorage.</t>
        </is>
      </c>
      <c r="J19" s="7" t="inlineStr">
        <is>
          <t>P1</t>
        </is>
      </c>
      <c r="K19" s="7" t="inlineStr">
        <is>
          <t>Functional</t>
        </is>
      </c>
      <c r="L19" s="7" t="inlineStr">
        <is>
          <t>Buyer / Seller</t>
        </is>
      </c>
      <c r="M19" s="7" t="inlineStr">
        <is>
          <t>Desktop</t>
        </is>
      </c>
      <c r="N19" s="7" t="inlineStr">
        <is>
          <t>Not Run</t>
        </is>
      </c>
      <c r="O19" s="6" t="inlineStr"/>
      <c r="P19" s="7" t="inlineStr"/>
      <c r="Q19" s="6" t="inlineStr"/>
      <c r="R19" s="7" t="inlineStr"/>
      <c r="S19" s="6" t="inlineStr">
        <is>
          <t>Session storage persistence.</t>
        </is>
      </c>
    </row>
    <row r="20" ht="65" customHeight="1">
      <c r="A20" s="2" t="inlineStr">
        <is>
          <t>AUTH-019</t>
        </is>
      </c>
      <c r="B20" s="3" t="inlineStr">
        <is>
          <t>Authentication &amp; Authorization</t>
        </is>
      </c>
      <c r="C20" s="3" t="inlineStr">
        <is>
          <t>Global (proxy.ts)</t>
        </is>
      </c>
      <c r="D20" s="3" t="inlineStr">
        <is>
          <t>Token Refresh</t>
        </is>
      </c>
      <c r="E20" s="3" t="inlineStr">
        <is>
          <t>Verify transparent access token renewal via refreshToken on 401 response</t>
        </is>
      </c>
      <c r="F20" s="3" t="inlineStr">
        <is>
          <t>User has expired accessToken cookie but valid refreshToken cookie.</t>
        </is>
      </c>
      <c r="G20" s="3" t="inlineStr">
        <is>
          <t>None.</t>
        </is>
      </c>
      <c r="H20" s="3" t="inlineStr">
        <is>
          <t>1. Simulate expired accessToken.
2. Trigger authenticated API request (e.g. navigate to /dashboard or /orders).</t>
        </is>
      </c>
      <c r="I20" s="3" t="inlineStr">
        <is>
          <t>Proxy or axiosFetch interceptor catches 401, calls /auth/refresh-token, updates accessToken cookie, and replays request seamlessly without user logout.</t>
        </is>
      </c>
      <c r="J20" s="4" t="inlineStr">
        <is>
          <t>P1</t>
        </is>
      </c>
      <c r="K20" s="4" t="inlineStr">
        <is>
          <t>Integration</t>
        </is>
      </c>
      <c r="L20" s="4" t="inlineStr">
        <is>
          <t>Buyer / Seller</t>
        </is>
      </c>
      <c r="M20" s="4" t="inlineStr">
        <is>
          <t>Desktop</t>
        </is>
      </c>
      <c r="N20" s="4" t="inlineStr">
        <is>
          <t>Not Run</t>
        </is>
      </c>
      <c r="O20" s="3" t="inlineStr"/>
      <c r="P20" s="4" t="inlineStr"/>
      <c r="Q20" s="3" t="inlineStr"/>
      <c r="R20" s="4" t="inlineStr"/>
      <c r="S20" s="3" t="inlineStr">
        <is>
          <t>Automated silent re-authentication.</t>
        </is>
      </c>
    </row>
    <row r="21" ht="65" customHeight="1">
      <c r="A21" s="5" t="inlineStr">
        <is>
          <t>AUTH-020</t>
        </is>
      </c>
      <c r="B21" s="6" t="inlineStr">
        <is>
          <t>Authentication &amp; Authorization</t>
        </is>
      </c>
      <c r="C21" s="6" t="inlineStr">
        <is>
          <t>/login</t>
        </is>
      </c>
      <c r="D21" s="6" t="inlineStr">
        <is>
          <t>Social OAuth Links</t>
        </is>
      </c>
      <c r="E21" s="6" t="inlineStr">
        <is>
          <t>Verify Google and GitHub social login button redirection</t>
        </is>
      </c>
      <c r="F21" s="6" t="inlineStr">
        <is>
          <t>None.</t>
        </is>
      </c>
      <c r="G21" s="6" t="inlineStr">
        <is>
          <t>None.</t>
        </is>
      </c>
      <c r="H21" s="6" t="inlineStr">
        <is>
          <t>1. Navigate to /login.
2. Verify 'Continue with Google' and 'Continue with GitHub' buttons.
3. Click 'Continue with Google'.</t>
        </is>
      </c>
      <c r="I21" s="6" t="inlineStr">
        <is>
          <t>Browser initiates redirect to Google OAuth consent endpoint with valid client_id and redirect_uri configured.</t>
        </is>
      </c>
      <c r="J21" s="7" t="inlineStr">
        <is>
          <t>P2</t>
        </is>
      </c>
      <c r="K21" s="7" t="inlineStr">
        <is>
          <t>Integration</t>
        </is>
      </c>
      <c r="L21" s="7" t="inlineStr">
        <is>
          <t>Guest</t>
        </is>
      </c>
      <c r="M21" s="7" t="inlineStr">
        <is>
          <t>Desktop</t>
        </is>
      </c>
      <c r="N21" s="7" t="inlineStr">
        <is>
          <t>Not Run</t>
        </is>
      </c>
      <c r="O21" s="6" t="inlineStr"/>
      <c r="P21" s="7" t="inlineStr"/>
      <c r="Q21" s="6" t="inlineStr"/>
      <c r="R21" s="7" t="inlineStr"/>
      <c r="S21" s="6" t="inlineStr">
        <is>
          <t>Social authentication trigger.</t>
        </is>
      </c>
    </row>
    <row r="22" ht="65" customHeight="1">
      <c r="A22" s="2" t="inlineStr">
        <is>
          <t>AUTH-021</t>
        </is>
      </c>
      <c r="B22" s="3" t="inlineStr">
        <is>
          <t>Authentication &amp; Authorization</t>
        </is>
      </c>
      <c r="C22" s="3" t="inlineStr">
        <is>
          <t>/login</t>
        </is>
      </c>
      <c r="D22" s="3" t="inlineStr">
        <is>
          <t>Redirect Query Handling</t>
        </is>
      </c>
      <c r="E22" s="3" t="inlineStr">
        <is>
          <t>Verify redirect after login with ?redirect=/favorites</t>
        </is>
      </c>
      <c r="F22" s="3" t="inlineStr">
        <is>
          <t>User is logged out.</t>
        </is>
      </c>
      <c r="G22" s="3" t="inlineStr">
        <is>
          <t>URL: /login?redirect=/favorites</t>
        </is>
      </c>
      <c r="H22" s="3" t="inlineStr">
        <is>
          <t>1. Access /login?redirect=/favorites.
2. Enter valid Buyer credentials.
3. Submit login.</t>
        </is>
      </c>
      <c r="I22" s="3" t="inlineStr">
        <is>
          <t>Upon successful authentication, application immediately redirects user to /favorites instead of default /dashboard.</t>
        </is>
      </c>
      <c r="J22" s="4" t="inlineStr">
        <is>
          <t>P2</t>
        </is>
      </c>
      <c r="K22" s="4" t="inlineStr">
        <is>
          <t>Functional</t>
        </is>
      </c>
      <c r="L22" s="4" t="inlineStr">
        <is>
          <t>Guest</t>
        </is>
      </c>
      <c r="M22" s="4" t="inlineStr">
        <is>
          <t>Desktop</t>
        </is>
      </c>
      <c r="N22" s="4" t="inlineStr">
        <is>
          <t>Not Run</t>
        </is>
      </c>
      <c r="O22" s="3" t="inlineStr"/>
      <c r="P22" s="4" t="inlineStr"/>
      <c r="Q22" s="3" t="inlineStr"/>
      <c r="R22" s="4" t="inlineStr"/>
      <c r="S22" s="3" t="inlineStr">
        <is>
          <t>Deep-link post-login redirection.</t>
        </is>
      </c>
    </row>
    <row r="23" ht="65" customHeight="1">
      <c r="A23" s="5" t="inlineStr">
        <is>
          <t>AUTH-022</t>
        </is>
      </c>
      <c r="B23" s="6" t="inlineStr">
        <is>
          <t>Authentication &amp; Authorization</t>
        </is>
      </c>
      <c r="C23" s="6" t="inlineStr">
        <is>
          <t>/login</t>
        </is>
      </c>
      <c r="D23" s="6" t="inlineStr">
        <is>
          <t>Open Redirect Protection</t>
        </is>
      </c>
      <c r="E23" s="6" t="inlineStr">
        <is>
          <t>Prevent open redirect attack via external malicious redirect param</t>
        </is>
      </c>
      <c r="F23" s="6" t="inlineStr">
        <is>
          <t>User is logged out.</t>
        </is>
      </c>
      <c r="G23" s="6" t="inlineStr">
        <is>
          <t>URL: /login?redirect=https://malicious-site.example.com</t>
        </is>
      </c>
      <c r="H23" s="6" t="inlineStr">
        <is>
          <t>1. Access /login with external redirect URL.
2. Log in with valid credentials.</t>
        </is>
      </c>
      <c r="I23" s="6" t="inlineStr">
        <is>
          <t>Proxy sanitizes redirect param; external domain is rejected; user redirected safely to internal /dashboard.</t>
        </is>
      </c>
      <c r="J23" s="7" t="inlineStr">
        <is>
          <t>P1</t>
        </is>
      </c>
      <c r="K23" s="7" t="inlineStr">
        <is>
          <t>Security</t>
        </is>
      </c>
      <c r="L23" s="7" t="inlineStr">
        <is>
          <t>Guest</t>
        </is>
      </c>
      <c r="M23" s="7" t="inlineStr">
        <is>
          <t>Desktop</t>
        </is>
      </c>
      <c r="N23" s="7" t="inlineStr">
        <is>
          <t>Not Run</t>
        </is>
      </c>
      <c r="O23" s="6" t="inlineStr"/>
      <c r="P23" s="7" t="inlineStr"/>
      <c r="Q23" s="6" t="inlineStr"/>
      <c r="R23" s="7" t="inlineStr"/>
      <c r="S23" s="6" t="inlineStr">
        <is>
          <t>Open redirect vulnerability mitigation.</t>
        </is>
      </c>
    </row>
    <row r="24" ht="65" customHeight="1">
      <c r="A24" s="2" t="inlineStr">
        <is>
          <t>BUY-001</t>
        </is>
      </c>
      <c r="B24" s="3" t="inlineStr">
        <is>
          <t>Buyer Experience</t>
        </is>
      </c>
      <c r="C24" s="3" t="inlineStr">
        <is>
          <t>/</t>
        </is>
      </c>
      <c r="D24" s="3" t="inlineStr">
        <is>
          <t>Marketplace Discovery</t>
        </is>
      </c>
      <c r="E24" s="3" t="inlineStr">
        <is>
          <t>Verify homepage hero search dispatches query to /packages</t>
        </is>
      </c>
      <c r="F24" s="3" t="inlineStr">
        <is>
          <t>Marketplace homepage is loaded.</t>
        </is>
      </c>
      <c r="G24" s="3" t="inlineStr">
        <is>
          <t>Search keyword: 'Fullstack Next.js'</t>
        </is>
      </c>
      <c r="H24" s="3" t="inlineStr">
        <is>
          <t>1. Navigate to /.
2. In hero search input, type 'Fullstack Next.js'.
3. Click 'Search' button or press Enter.</t>
        </is>
      </c>
      <c r="I24" s="3" t="inlineStr">
        <is>
          <t>Browser navigates to /packages?query=Fullstack+Next.js; catalog loads packages matching keyword.</t>
        </is>
      </c>
      <c r="J24" s="4" t="inlineStr">
        <is>
          <t>P1</t>
        </is>
      </c>
      <c r="K24" s="4" t="inlineStr">
        <is>
          <t>Functional</t>
        </is>
      </c>
      <c r="L24" s="4" t="inlineStr">
        <is>
          <t>Public / Buyer</t>
        </is>
      </c>
      <c r="M24" s="4" t="inlineStr">
        <is>
          <t>Desktop</t>
        </is>
      </c>
      <c r="N24" s="4" t="inlineStr">
        <is>
          <t>Not Run</t>
        </is>
      </c>
      <c r="O24" s="3" t="inlineStr"/>
      <c r="P24" s="4" t="inlineStr"/>
      <c r="Q24" s="3" t="inlineStr"/>
      <c r="R24" s="4" t="inlineStr"/>
      <c r="S24" s="3" t="inlineStr">
        <is>
          <t>Core top-of-funnel discovery.</t>
        </is>
      </c>
    </row>
    <row r="25" ht="65" customHeight="1">
      <c r="A25" s="5" t="inlineStr">
        <is>
          <t>BUY-002</t>
        </is>
      </c>
      <c r="B25" s="6" t="inlineStr">
        <is>
          <t>Buyer Experience</t>
        </is>
      </c>
      <c r="C25" s="6" t="inlineStr">
        <is>
          <t>/</t>
        </is>
      </c>
      <c r="D25" s="6" t="inlineStr">
        <is>
          <t>Category Navigation</t>
        </is>
      </c>
      <c r="E25" s="6" t="inlineStr">
        <is>
          <t>Click category card in homepage category slider</t>
        </is>
      </c>
      <c r="F25" s="6" t="inlineStr">
        <is>
          <t>Homepage loaded.</t>
        </is>
      </c>
      <c r="G25" s="6" t="inlineStr">
        <is>
          <t>Category: 'Programming &amp; Tech'</t>
        </is>
      </c>
      <c r="H25" s="6" t="inlineStr">
        <is>
          <t>1. On homepage, locate category slider.
2. Click on 'Programming &amp; Tech' card.</t>
        </is>
      </c>
      <c r="I25" s="6" t="inlineStr">
        <is>
          <t>Navigates to /packages?category=programming-tech; catalog displays tech packages.</t>
        </is>
      </c>
      <c r="J25" s="7" t="inlineStr">
        <is>
          <t>P2</t>
        </is>
      </c>
      <c r="K25" s="7" t="inlineStr">
        <is>
          <t>Functional</t>
        </is>
      </c>
      <c r="L25" s="7" t="inlineStr">
        <is>
          <t>Public</t>
        </is>
      </c>
      <c r="M25" s="7" t="inlineStr">
        <is>
          <t>Desktop</t>
        </is>
      </c>
      <c r="N25" s="7" t="inlineStr">
        <is>
          <t>Not Run</t>
        </is>
      </c>
      <c r="O25" s="6" t="inlineStr"/>
      <c r="P25" s="7" t="inlineStr"/>
      <c r="Q25" s="6" t="inlineStr"/>
      <c r="R25" s="7" t="inlineStr"/>
      <c r="S25" s="6" t="inlineStr">
        <is>
          <t>Category discovery.</t>
        </is>
      </c>
    </row>
    <row r="26" ht="65" customHeight="1">
      <c r="A26" s="2" t="inlineStr">
        <is>
          <t>BUY-003</t>
        </is>
      </c>
      <c r="B26" s="3" t="inlineStr">
        <is>
          <t>Buyer Experience</t>
        </is>
      </c>
      <c r="C26" s="3" t="inlineStr">
        <is>
          <t>/packages</t>
        </is>
      </c>
      <c r="D26" s="3" t="inlineStr">
        <is>
          <t>Category Filtering</t>
        </is>
      </c>
      <c r="E26" s="3" t="inlineStr">
        <is>
          <t>Filter packages by category using top CategoryBar</t>
        </is>
      </c>
      <c r="F26" s="3" t="inlineStr">
        <is>
          <t>Packages catalog loaded.</t>
        </is>
      </c>
      <c r="G26" s="3" t="inlineStr">
        <is>
          <t>Category: 'Graphics &amp; Design'</t>
        </is>
      </c>
      <c r="H26" s="3" t="inlineStr">
        <is>
          <t>1. Navigate to /packages.
2. Click 'Graphics &amp; Design' in category navigation bar.
3. Wait for list update.</t>
        </is>
      </c>
      <c r="I26" s="3" t="inlineStr">
        <is>
          <t>Active category pill highlights with brand green styling; URL updates to /packages?category=graphics-design; packages filtered without page reload.</t>
        </is>
      </c>
      <c r="J26" s="4" t="inlineStr">
        <is>
          <t>P1</t>
        </is>
      </c>
      <c r="K26" s="4" t="inlineStr">
        <is>
          <t>Functional</t>
        </is>
      </c>
      <c r="L26" s="4" t="inlineStr">
        <is>
          <t>Public / Buyer</t>
        </is>
      </c>
      <c r="M26" s="4" t="inlineStr">
        <is>
          <t>Desktop</t>
        </is>
      </c>
      <c r="N26" s="4" t="inlineStr">
        <is>
          <t>Not Run</t>
        </is>
      </c>
      <c r="O26" s="3" t="inlineStr"/>
      <c r="P26" s="4" t="inlineStr"/>
      <c r="Q26" s="3" t="inlineStr"/>
      <c r="R26" s="4" t="inlineStr"/>
      <c r="S26" s="3" t="inlineStr">
        <is>
          <t>Catalog category filtering.</t>
        </is>
      </c>
    </row>
    <row r="27" ht="65" customHeight="1">
      <c r="A27" s="5" t="inlineStr">
        <is>
          <t>BUY-004</t>
        </is>
      </c>
      <c r="B27" s="6" t="inlineStr">
        <is>
          <t>Buyer Experience</t>
        </is>
      </c>
      <c r="C27" s="6" t="inlineStr">
        <is>
          <t>/packages</t>
        </is>
      </c>
      <c r="D27" s="6" t="inlineStr">
        <is>
          <t>Subcategory Filtering</t>
        </is>
      </c>
      <c r="E27" s="6" t="inlineStr">
        <is>
          <t>Filter by subcategory using subcategory pills</t>
        </is>
      </c>
      <c r="F27" s="6" t="inlineStr">
        <is>
          <t>Category 'Programming &amp; Tech' selected.</t>
        </is>
      </c>
      <c r="G27" s="6" t="inlineStr">
        <is>
          <t>Subcategory: 'Web Development'</t>
        </is>
      </c>
      <c r="H27" s="6" t="inlineStr">
        <is>
          <t>1. On /packages, select 'Programming &amp; Tech'.
2. In the secondary subcategory pills bar, click 'Web Development'.</t>
        </is>
      </c>
      <c r="I27" s="6" t="inlineStr">
        <is>
          <t>Catalog narrows results strictly to Web Development; subcategory count matches returned cards.</t>
        </is>
      </c>
      <c r="J27" s="7" t="inlineStr">
        <is>
          <t>P2</t>
        </is>
      </c>
      <c r="K27" s="7" t="inlineStr">
        <is>
          <t>Functional</t>
        </is>
      </c>
      <c r="L27" s="7" t="inlineStr">
        <is>
          <t>Public / Buyer</t>
        </is>
      </c>
      <c r="M27" s="7" t="inlineStr">
        <is>
          <t>Desktop</t>
        </is>
      </c>
      <c r="N27" s="7" t="inlineStr">
        <is>
          <t>Not Run</t>
        </is>
      </c>
      <c r="O27" s="6" t="inlineStr"/>
      <c r="P27" s="7" t="inlineStr"/>
      <c r="Q27" s="6" t="inlineStr"/>
      <c r="R27" s="7" t="inlineStr"/>
      <c r="S27" s="6" t="inlineStr">
        <is>
          <t>Subcategory hierarchy.</t>
        </is>
      </c>
    </row>
    <row r="28" ht="65" customHeight="1">
      <c r="A28" s="2" t="inlineStr">
        <is>
          <t>BUY-005</t>
        </is>
      </c>
      <c r="B28" s="3" t="inlineStr">
        <is>
          <t>Buyer Experience</t>
        </is>
      </c>
      <c r="C28" s="3" t="inlineStr">
        <is>
          <t>/packages</t>
        </is>
      </c>
      <c r="D28" s="3" t="inlineStr">
        <is>
          <t>Price Range Filter</t>
        </is>
      </c>
      <c r="E28" s="3" t="inlineStr">
        <is>
          <t>Apply min and max budget filter slider / inputs</t>
        </is>
      </c>
      <c r="F28" s="3" t="inlineStr">
        <is>
          <t>Packages catalog has active listings.</t>
        </is>
      </c>
      <c r="G28" s="3" t="inlineStr">
        <is>
          <t>Min Price: $50, Max Price: $250</t>
        </is>
      </c>
      <c r="H28" s="3" t="inlineStr">
        <is>
          <t>1. Open budget filter dropdown on /packages.
2. Set Min Price to 50, Max Price to 250.
3. Click 'Apply'.</t>
        </is>
      </c>
      <c r="I28" s="3" t="inlineStr">
        <is>
          <t>Packages reload; all visible package cards display starting prices between $50 and $250 inclusive.</t>
        </is>
      </c>
      <c r="J28" s="4" t="inlineStr">
        <is>
          <t>P2</t>
        </is>
      </c>
      <c r="K28" s="4" t="inlineStr">
        <is>
          <t>Functional</t>
        </is>
      </c>
      <c r="L28" s="4" t="inlineStr">
        <is>
          <t>Public / Buyer</t>
        </is>
      </c>
      <c r="M28" s="4" t="inlineStr">
        <is>
          <t>Desktop</t>
        </is>
      </c>
      <c r="N28" s="4" t="inlineStr">
        <is>
          <t>Not Run</t>
        </is>
      </c>
      <c r="O28" s="3" t="inlineStr"/>
      <c r="P28" s="4" t="inlineStr"/>
      <c r="Q28" s="3" t="inlineStr"/>
      <c r="R28" s="4" t="inlineStr"/>
      <c r="S28" s="3" t="inlineStr">
        <is>
          <t>Price boundary filtering.</t>
        </is>
      </c>
    </row>
    <row r="29" ht="65" customHeight="1">
      <c r="A29" s="5" t="inlineStr">
        <is>
          <t>BUY-006</t>
        </is>
      </c>
      <c r="B29" s="6" t="inlineStr">
        <is>
          <t>Buyer Experience</t>
        </is>
      </c>
      <c r="C29" s="6" t="inlineStr">
        <is>
          <t>/packages</t>
        </is>
      </c>
      <c r="D29" s="6" t="inlineStr">
        <is>
          <t>Delivery Time Filter</t>
        </is>
      </c>
      <c r="E29" s="6" t="inlineStr">
        <is>
          <t>Filter packages by delivery timeline (Up to 3 Days)</t>
        </is>
      </c>
      <c r="F29" s="6" t="inlineStr">
        <is>
          <t>Catalog loaded.</t>
        </is>
      </c>
      <c r="G29" s="6" t="inlineStr">
        <is>
          <t>Filter: 'Express 24H' or 'Up to 3 Days'</t>
        </is>
      </c>
      <c r="H29" s="6" t="inlineStr">
        <is>
          <t>1. Open 'Delivery Time' filter dropdown.
2. Select 'Up to 3 Days'.
3. Click Apply.</t>
        </is>
      </c>
      <c r="I29" s="6" t="inlineStr">
        <is>
          <t>Catalog filters out packages requiring more than 3 days delivery time.</t>
        </is>
      </c>
      <c r="J29" s="7" t="inlineStr">
        <is>
          <t>P2</t>
        </is>
      </c>
      <c r="K29" s="7" t="inlineStr">
        <is>
          <t>Functional</t>
        </is>
      </c>
      <c r="L29" s="7" t="inlineStr">
        <is>
          <t>Public / Buyer</t>
        </is>
      </c>
      <c r="M29" s="7" t="inlineStr">
        <is>
          <t>Desktop</t>
        </is>
      </c>
      <c r="N29" s="7" t="inlineStr">
        <is>
          <t>Not Run</t>
        </is>
      </c>
      <c r="O29" s="6" t="inlineStr"/>
      <c r="P29" s="7" t="inlineStr"/>
      <c r="Q29" s="6" t="inlineStr"/>
      <c r="R29" s="7" t="inlineStr"/>
      <c r="S29" s="6" t="inlineStr">
        <is>
          <t>Delivery timeline filter.</t>
        </is>
      </c>
    </row>
    <row r="30" ht="65" customHeight="1">
      <c r="A30" s="2" t="inlineStr">
        <is>
          <t>BUY-007</t>
        </is>
      </c>
      <c r="B30" s="3" t="inlineStr">
        <is>
          <t>Buyer Experience</t>
        </is>
      </c>
      <c r="C30" s="3" t="inlineStr">
        <is>
          <t>/packages</t>
        </is>
      </c>
      <c r="D30" s="3" t="inlineStr">
        <is>
          <t>Seller Rating Filter</t>
        </is>
      </c>
      <c r="E30" s="3" t="inlineStr">
        <is>
          <t>Filter packages by minimum 4.5+ star rating</t>
        </is>
      </c>
      <c r="F30" s="3" t="inlineStr">
        <is>
          <t>Catalog loaded.</t>
        </is>
      </c>
      <c r="G30" s="3" t="inlineStr">
        <is>
          <t>Rating: '4.5 &amp; up'</t>
        </is>
      </c>
      <c r="H30" s="3" t="inlineStr">
        <is>
          <t>1. Open 'Seller Details' / 'Rating' filter.
2. Select '4.5 &amp; up'.
3. Apply filter.</t>
        </is>
      </c>
      <c r="I30" s="3" t="inlineStr">
        <is>
          <t>Only packages with seller ratings &gt;= 4.5 are displayed; lower-rated or unrated packages hidden.</t>
        </is>
      </c>
      <c r="J30" s="4" t="inlineStr">
        <is>
          <t>P2</t>
        </is>
      </c>
      <c r="K30" s="4" t="inlineStr">
        <is>
          <t>Functional</t>
        </is>
      </c>
      <c r="L30" s="4" t="inlineStr">
        <is>
          <t>Public / Buyer</t>
        </is>
      </c>
      <c r="M30" s="4" t="inlineStr">
        <is>
          <t>Desktop</t>
        </is>
      </c>
      <c r="N30" s="4" t="inlineStr">
        <is>
          <t>Not Run</t>
        </is>
      </c>
      <c r="O30" s="3" t="inlineStr"/>
      <c r="P30" s="4" t="inlineStr"/>
      <c r="Q30" s="3" t="inlineStr"/>
      <c r="R30" s="4" t="inlineStr"/>
      <c r="S30" s="3" t="inlineStr">
        <is>
          <t>Quality rating filter.</t>
        </is>
      </c>
    </row>
    <row r="31" ht="65" customHeight="1">
      <c r="A31" s="5" t="inlineStr">
        <is>
          <t>BUY-008</t>
        </is>
      </c>
      <c r="B31" s="6" t="inlineStr">
        <is>
          <t>Buyer Experience</t>
        </is>
      </c>
      <c r="C31" s="6" t="inlineStr">
        <is>
          <t>/packages</t>
        </is>
      </c>
      <c r="D31" s="6" t="inlineStr">
        <is>
          <t>Sorting Order</t>
        </is>
      </c>
      <c r="E31" s="6" t="inlineStr">
        <is>
          <t>Sort catalog results by 'Price: Low to High' and 'Newest'</t>
        </is>
      </c>
      <c r="F31" s="6" t="inlineStr">
        <is>
          <t>Catalog loaded.</t>
        </is>
      </c>
      <c r="G31" s="6" t="inlineStr">
        <is>
          <t>Sort Options: 'Price: Low to High', 'Newest'</t>
        </is>
      </c>
      <c r="H31" s="6" t="inlineStr">
        <is>
          <t>1. Click 'Sort by' dropdown.
2. Select 'Price: Low to High'.
3. Verify card sequence.
4. Select 'Newest'.</t>
        </is>
      </c>
      <c r="I31" s="6" t="inlineStr">
        <is>
          <t>Catalog re-orders package cards; cards in Low-to-High order have strictly ascending starting prices.</t>
        </is>
      </c>
      <c r="J31" s="7" t="inlineStr">
        <is>
          <t>P2</t>
        </is>
      </c>
      <c r="K31" s="7" t="inlineStr">
        <is>
          <t>Functional</t>
        </is>
      </c>
      <c r="L31" s="7" t="inlineStr">
        <is>
          <t>Public / Buyer</t>
        </is>
      </c>
      <c r="M31" s="7" t="inlineStr">
        <is>
          <t>Desktop</t>
        </is>
      </c>
      <c r="N31" s="7" t="inlineStr">
        <is>
          <t>Not Run</t>
        </is>
      </c>
      <c r="O31" s="6" t="inlineStr"/>
      <c r="P31" s="7" t="inlineStr"/>
      <c r="Q31" s="6" t="inlineStr"/>
      <c r="R31" s="7" t="inlineStr"/>
      <c r="S31" s="6" t="inlineStr">
        <is>
          <t>Sorting mechanism.</t>
        </is>
      </c>
    </row>
    <row r="32" ht="65" customHeight="1">
      <c r="A32" s="2" t="inlineStr">
        <is>
          <t>BUY-009</t>
        </is>
      </c>
      <c r="B32" s="3" t="inlineStr">
        <is>
          <t>Buyer Experience</t>
        </is>
      </c>
      <c r="C32" s="3" t="inlineStr">
        <is>
          <t>/packages</t>
        </is>
      </c>
      <c r="D32" s="3" t="inlineStr">
        <is>
          <t>Favorites Wishlist</t>
        </is>
      </c>
      <c r="E32" s="3" t="inlineStr">
        <is>
          <t>Add package to favorites as logged-in Buyer</t>
        </is>
      </c>
      <c r="F32" s="3" t="inlineStr">
        <is>
          <t>User logged in as Buyer; on /packages.</t>
        </is>
      </c>
      <c r="G32" s="3" t="inlineStr">
        <is>
          <t>Package ID: '0af86b74-5211-4a62-a3e4-9aa1e18e225f'</t>
        </is>
      </c>
      <c r="H32" s="3" t="inlineStr">
        <is>
          <t>1. Hover over a package card.
2. Click the heart icon in top right of card.</t>
        </is>
      </c>
      <c r="I32" s="3" t="inlineStr">
        <is>
          <t>Heart icon transitions to filled green/red state; success toast 'Added to favorites' displays; API POST /gigs/favorite succeeds.</t>
        </is>
      </c>
      <c r="J32" s="4" t="inlineStr">
        <is>
          <t>P1</t>
        </is>
      </c>
      <c r="K32" s="4" t="inlineStr">
        <is>
          <t>Functional</t>
        </is>
      </c>
      <c r="L32" s="4" t="inlineStr">
        <is>
          <t>Buyer</t>
        </is>
      </c>
      <c r="M32" s="4" t="inlineStr">
        <is>
          <t>Desktop</t>
        </is>
      </c>
      <c r="N32" s="4" t="inlineStr">
        <is>
          <t>Not Run</t>
        </is>
      </c>
      <c r="O32" s="3" t="inlineStr"/>
      <c r="P32" s="4" t="inlineStr"/>
      <c r="Q32" s="3" t="inlineStr"/>
      <c r="R32" s="4" t="inlineStr"/>
      <c r="S32" s="3" t="inlineStr">
        <is>
          <t>Favorites bookmarking.</t>
        </is>
      </c>
    </row>
    <row r="33" ht="65" customHeight="1">
      <c r="A33" s="5" t="inlineStr">
        <is>
          <t>BUY-010</t>
        </is>
      </c>
      <c r="B33" s="6" t="inlineStr">
        <is>
          <t>Buyer Experience</t>
        </is>
      </c>
      <c r="C33" s="6" t="inlineStr">
        <is>
          <t>/favorites</t>
        </is>
      </c>
      <c r="D33" s="6" t="inlineStr">
        <is>
          <t>Favorites Wishlist</t>
        </is>
      </c>
      <c r="E33" s="6" t="inlineStr">
        <is>
          <t>View saved favorites and remove a package</t>
        </is>
      </c>
      <c r="F33" s="6" t="inlineStr">
        <is>
          <t>Buyer has at least one favorite package saved.</t>
        </is>
      </c>
      <c r="G33" s="6" t="inlineStr">
        <is>
          <t>None.</t>
        </is>
      </c>
      <c r="H33" s="6" t="inlineStr">
        <is>
          <t>1. Navigate to /favorites.
2. Verify saved package cards render with valid images, titles, and prices.
3. Click heart icon to remove package.
4. Confirm prompt if present.</t>
        </is>
      </c>
      <c r="I33" s="6" t="inlineStr">
        <is>
          <t>Card disappears from /favorites list; empty state shows if list is empty ('No favorites yet').</t>
        </is>
      </c>
      <c r="J33" s="7" t="inlineStr">
        <is>
          <t>P1</t>
        </is>
      </c>
      <c r="K33" s="7" t="inlineStr">
        <is>
          <t>Functional</t>
        </is>
      </c>
      <c r="L33" s="7" t="inlineStr">
        <is>
          <t>Buyer</t>
        </is>
      </c>
      <c r="M33" s="7" t="inlineStr">
        <is>
          <t>Desktop</t>
        </is>
      </c>
      <c r="N33" s="7" t="inlineStr">
        <is>
          <t>Not Run</t>
        </is>
      </c>
      <c r="O33" s="6" t="inlineStr"/>
      <c r="P33" s="7" t="inlineStr"/>
      <c r="Q33" s="6" t="inlineStr"/>
      <c r="R33" s="7" t="inlineStr"/>
      <c r="S33" s="6" t="inlineStr">
        <is>
          <t>Wishlist management.</t>
        </is>
      </c>
    </row>
    <row r="34" ht="65" customHeight="1">
      <c r="A34" s="2" t="inlineStr">
        <is>
          <t>BUY-011</t>
        </is>
      </c>
      <c r="B34" s="3" t="inlineStr">
        <is>
          <t>Buyer Experience</t>
        </is>
      </c>
      <c r="C34" s="3" t="inlineStr">
        <is>
          <t>/packages</t>
        </is>
      </c>
      <c r="D34" s="3" t="inlineStr">
        <is>
          <t>Guest Favorite Prompt</t>
        </is>
      </c>
      <c r="E34" s="3" t="inlineStr">
        <is>
          <t>Click favorite heart icon as unauthenticated Guest</t>
        </is>
      </c>
      <c r="F34" s="3" t="inlineStr">
        <is>
          <t>User is logged out.</t>
        </is>
      </c>
      <c r="G34" s="3" t="inlineStr">
        <is>
          <t>None.</t>
        </is>
      </c>
      <c r="H34" s="3" t="inlineStr">
        <is>
          <t>1. Navigate to /packages.
2. Click heart icon on any package card.</t>
        </is>
      </c>
      <c r="I34" s="3" t="inlineStr">
        <is>
          <t>Action blocked; user is prompted with login modal or redirected to /login?redirect=/packages.</t>
        </is>
      </c>
      <c r="J34" s="4" t="inlineStr">
        <is>
          <t>P2</t>
        </is>
      </c>
      <c r="K34" s="4" t="inlineStr">
        <is>
          <t>Security</t>
        </is>
      </c>
      <c r="L34" s="4" t="inlineStr">
        <is>
          <t>Guest</t>
        </is>
      </c>
      <c r="M34" s="4" t="inlineStr">
        <is>
          <t>Desktop</t>
        </is>
      </c>
      <c r="N34" s="4" t="inlineStr">
        <is>
          <t>Not Run</t>
        </is>
      </c>
      <c r="O34" s="3" t="inlineStr"/>
      <c r="P34" s="4" t="inlineStr"/>
      <c r="Q34" s="3" t="inlineStr"/>
      <c r="R34" s="4" t="inlineStr"/>
      <c r="S34" s="3" t="inlineStr">
        <is>
          <t>Guest action guard.</t>
        </is>
      </c>
    </row>
    <row r="35" ht="65" customHeight="1">
      <c r="A35" s="5" t="inlineStr">
        <is>
          <t>BUY-012</t>
        </is>
      </c>
      <c r="B35" s="6" t="inlineStr">
        <is>
          <t>Buyer Experience</t>
        </is>
      </c>
      <c r="C35" s="6" t="inlineStr">
        <is>
          <t>/packages</t>
        </is>
      </c>
      <c r="D35" s="6" t="inlineStr">
        <is>
          <t>Empty Search State</t>
        </is>
      </c>
      <c r="E35" s="6" t="inlineStr">
        <is>
          <t>Search with nonexistent keyword to verify zero results state</t>
        </is>
      </c>
      <c r="F35" s="6" t="inlineStr">
        <is>
          <t>Catalog loaded.</t>
        </is>
      </c>
      <c r="G35" s="6" t="inlineStr">
        <is>
          <t>Query: 'xyzabc999nonexistentword'</t>
        </is>
      </c>
      <c r="H35" s="6" t="inlineStr">
        <is>
          <t>1. Search 'xyzabc999nonexistentword' in catalog search input.
2. Press Enter.</t>
        </is>
      </c>
      <c r="I35" s="6" t="inlineStr">
        <is>
          <t>Clean empty state displays ('No packages found matching your criteria'); suggestion to clear filters or search different terms provided; no broken layout.</t>
        </is>
      </c>
      <c r="J35" s="7" t="inlineStr">
        <is>
          <t>P3</t>
        </is>
      </c>
      <c r="K35" s="7" t="inlineStr">
        <is>
          <t>UI</t>
        </is>
      </c>
      <c r="L35" s="7" t="inlineStr">
        <is>
          <t>Public / Buyer</t>
        </is>
      </c>
      <c r="M35" s="7" t="inlineStr">
        <is>
          <t>Desktop</t>
        </is>
      </c>
      <c r="N35" s="7" t="inlineStr">
        <is>
          <t>Not Run</t>
        </is>
      </c>
      <c r="O35" s="6" t="inlineStr"/>
      <c r="P35" s="7" t="inlineStr"/>
      <c r="Q35" s="6" t="inlineStr"/>
      <c r="R35" s="7" t="inlineStr"/>
      <c r="S35" s="6" t="inlineStr">
        <is>
          <t>Zero results UX.</t>
        </is>
      </c>
    </row>
    <row r="36" ht="65" customHeight="1">
      <c r="A36" s="2" t="inlineStr">
        <is>
          <t>BUY-013</t>
        </is>
      </c>
      <c r="B36" s="3" t="inlineStr">
        <is>
          <t>Buyer Experience</t>
        </is>
      </c>
      <c r="C36" s="3" t="inlineStr">
        <is>
          <t>/packages</t>
        </is>
      </c>
      <c r="D36" s="3" t="inlineStr">
        <is>
          <t>Clear All Filters</t>
        </is>
      </c>
      <c r="E36" s="3" t="inlineStr">
        <is>
          <t>Reset multiple active filters using 'Clear All' button</t>
        </is>
      </c>
      <c r="F36" s="3" t="inlineStr">
        <is>
          <t>Multiple filters active (category, price min/max, rating).</t>
        </is>
      </c>
      <c r="G36" s="3" t="inlineStr">
        <is>
          <t>None.</t>
        </is>
      </c>
      <c r="H36" s="3" t="inlineStr">
        <is>
          <t>1. On filtered /packages page, click 'Clear All' / 'Reset Filters' button.</t>
        </is>
      </c>
      <c r="I36" s="3" t="inlineStr">
        <is>
          <t>All filter dropdowns and pills reset to defaults; catalog returns to full default listing; URL parameters removed.</t>
        </is>
      </c>
      <c r="J36" s="4" t="inlineStr">
        <is>
          <t>P3</t>
        </is>
      </c>
      <c r="K36" s="4" t="inlineStr">
        <is>
          <t>Functional</t>
        </is>
      </c>
      <c r="L36" s="4" t="inlineStr">
        <is>
          <t>Public / Buyer</t>
        </is>
      </c>
      <c r="M36" s="4" t="inlineStr">
        <is>
          <t>Desktop</t>
        </is>
      </c>
      <c r="N36" s="4" t="inlineStr">
        <is>
          <t>Not Run</t>
        </is>
      </c>
      <c r="O36" s="3" t="inlineStr"/>
      <c r="P36" s="4" t="inlineStr"/>
      <c r="Q36" s="3" t="inlineStr"/>
      <c r="R36" s="4" t="inlineStr"/>
      <c r="S36" s="3" t="inlineStr">
        <is>
          <t>Filter reset.</t>
        </is>
      </c>
    </row>
    <row r="37" ht="65" customHeight="1">
      <c r="A37" s="5" t="inlineStr">
        <is>
          <t>BUY-014</t>
        </is>
      </c>
      <c r="B37" s="6" t="inlineStr">
        <is>
          <t>Buyer Experience</t>
        </is>
      </c>
      <c r="C37" s="6" t="inlineStr">
        <is>
          <t>/dashboard/buyer</t>
        </is>
      </c>
      <c r="D37" s="6" t="inlineStr">
        <is>
          <t>Buyer Dashboard</t>
        </is>
      </c>
      <c r="E37" s="6" t="inlineStr">
        <is>
          <t>Inspect Buyer Dashboard summary metrics and active orders</t>
        </is>
      </c>
      <c r="F37" s="6" t="inlineStr">
        <is>
          <t>Buyer logged in with at least one active order.</t>
        </is>
      </c>
      <c r="G37" s="6" t="inlineStr">
        <is>
          <t>None.</t>
        </is>
      </c>
      <c r="H37" s="6" t="inlineStr">
        <is>
          <t>1. Navigate to /dashboard/buyer.
2. Inspect KPI metric cards (Total Spent, Active Orders, Completed Orders).
3. Inspect 'Recent Orders' table.</t>
        </is>
      </c>
      <c r="I37" s="6" t="inlineStr">
        <is>
          <t>Metrics render with formatted currency without NaN or undefined; recent order links navigate to corresponding /orders/[id].</t>
        </is>
      </c>
      <c r="J37" s="7" t="inlineStr">
        <is>
          <t>P1</t>
        </is>
      </c>
      <c r="K37" s="7" t="inlineStr">
        <is>
          <t>Functional</t>
        </is>
      </c>
      <c r="L37" s="7" t="inlineStr">
        <is>
          <t>Buyer</t>
        </is>
      </c>
      <c r="M37" s="7" t="inlineStr">
        <is>
          <t>Desktop</t>
        </is>
      </c>
      <c r="N37" s="7" t="inlineStr">
        <is>
          <t>Not Run</t>
        </is>
      </c>
      <c r="O37" s="6" t="inlineStr"/>
      <c r="P37" s="7" t="inlineStr"/>
      <c r="Q37" s="6" t="inlineStr"/>
      <c r="R37" s="7" t="inlineStr"/>
      <c r="S37" s="6" t="inlineStr">
        <is>
          <t>Client dashboard integrity.</t>
        </is>
      </c>
    </row>
    <row r="38" ht="65" customHeight="1">
      <c r="A38" s="2" t="inlineStr">
        <is>
          <t>BUY-015</t>
        </is>
      </c>
      <c r="B38" s="3" t="inlineStr">
        <is>
          <t>Buyer Experience</t>
        </is>
      </c>
      <c r="C38" s="3" t="inlineStr">
        <is>
          <t>/dashboard/buyer</t>
        </is>
      </c>
      <c r="D38" s="3" t="inlineStr">
        <is>
          <t>Buyer Quick Navigation</t>
        </is>
      </c>
      <c r="E38" s="3" t="inlineStr">
        <is>
          <t>Verify quick action links on Buyer Dashboard</t>
        </is>
      </c>
      <c r="F38" s="3" t="inlineStr">
        <is>
          <t>Buyer logged in.</t>
        </is>
      </c>
      <c r="G38" s="3" t="inlineStr">
        <is>
          <t>None.</t>
        </is>
      </c>
      <c r="H38" s="3" t="inlineStr">
        <is>
          <t>1. On /dashboard/buyer, test links: 'Post a Request' (/briefs/create), 'Saved Gigs' (/favorites), 'Browse Services' (/packages).</t>
        </is>
      </c>
      <c r="I38" s="3" t="inlineStr">
        <is>
          <t>Each link routes seamlessly to the correct target page without full page reload or broken layouts.</t>
        </is>
      </c>
      <c r="J38" s="4" t="inlineStr">
        <is>
          <t>P2</t>
        </is>
      </c>
      <c r="K38" s="4" t="inlineStr">
        <is>
          <t>Functional</t>
        </is>
      </c>
      <c r="L38" s="4" t="inlineStr">
        <is>
          <t>Buyer</t>
        </is>
      </c>
      <c r="M38" s="4" t="inlineStr">
        <is>
          <t>Desktop</t>
        </is>
      </c>
      <c r="N38" s="4" t="inlineStr">
        <is>
          <t>Not Run</t>
        </is>
      </c>
      <c r="O38" s="3" t="inlineStr"/>
      <c r="P38" s="4" t="inlineStr"/>
      <c r="Q38" s="3" t="inlineStr"/>
      <c r="R38" s="4" t="inlineStr"/>
      <c r="S38" s="3" t="inlineStr">
        <is>
          <t>Buyer navigation links.</t>
        </is>
      </c>
    </row>
    <row r="39" ht="65" customHeight="1">
      <c r="A39" s="5" t="inlineStr">
        <is>
          <t>BUY-016</t>
        </is>
      </c>
      <c r="B39" s="6" t="inlineStr">
        <is>
          <t>Buyer Experience</t>
        </is>
      </c>
      <c r="C39" s="6" t="inlineStr">
        <is>
          <t>/buyer/dashboard</t>
        </is>
      </c>
      <c r="D39" s="6" t="inlineStr">
        <is>
          <t>Buyer Dashboard Alias</t>
        </is>
      </c>
      <c r="E39" s="6" t="inlineStr">
        <is>
          <t>Access /buyer/dashboard alternate route</t>
        </is>
      </c>
      <c r="F39" s="6" t="inlineStr">
        <is>
          <t>Buyer logged in.</t>
        </is>
      </c>
      <c r="G39" s="6" t="inlineStr">
        <is>
          <t>None.</t>
        </is>
      </c>
      <c r="H39" s="6" t="inlineStr">
        <is>
          <t>1. Navigate directly to /buyer/dashboard in browser URL bar.</t>
        </is>
      </c>
      <c r="I39" s="6" t="inlineStr">
        <is>
          <t>Page renders Buyer Dashboard components identical to /dashboard/buyer without error.</t>
        </is>
      </c>
      <c r="J39" s="7" t="inlineStr">
        <is>
          <t>P3</t>
        </is>
      </c>
      <c r="K39" s="7" t="inlineStr">
        <is>
          <t>Functional</t>
        </is>
      </c>
      <c r="L39" s="7" t="inlineStr">
        <is>
          <t>Buyer</t>
        </is>
      </c>
      <c r="M39" s="7" t="inlineStr">
        <is>
          <t>Desktop</t>
        </is>
      </c>
      <c r="N39" s="7" t="inlineStr">
        <is>
          <t>Not Run</t>
        </is>
      </c>
      <c r="O39" s="6" t="inlineStr"/>
      <c r="P39" s="7" t="inlineStr"/>
      <c r="Q39" s="6" t="inlineStr"/>
      <c r="R39" s="7" t="inlineStr"/>
      <c r="S39" s="6" t="inlineStr">
        <is>
          <t>Route alias compatibility.</t>
        </is>
      </c>
    </row>
    <row r="40" ht="65" customHeight="1">
      <c r="A40" s="2" t="inlineStr">
        <is>
          <t>BUY-017</t>
        </is>
      </c>
      <c r="B40" s="3" t="inlineStr">
        <is>
          <t>Buyer Experience</t>
        </is>
      </c>
      <c r="C40" s="3" t="inlineStr">
        <is>
          <t>/search</t>
        </is>
      </c>
      <c r="D40" s="3" t="inlineStr">
        <is>
          <t>Search Results Page</t>
        </is>
      </c>
      <c r="E40" s="3" t="inlineStr">
        <is>
          <t>Access /search route directly with query param</t>
        </is>
      </c>
      <c r="F40" s="3" t="inlineStr">
        <is>
          <t>None.</t>
        </is>
      </c>
      <c r="G40" s="3" t="inlineStr">
        <is>
          <t>URL: /search?query=Logo+Design</t>
        </is>
      </c>
      <c r="H40" s="3" t="inlineStr">
        <is>
          <t>1. Enter /search?query=Logo+Design directly.
2. Verify search header and rendered packages.</t>
        </is>
      </c>
      <c r="I40" s="3" t="inlineStr">
        <is>
          <t>Page displays 'Results for "Logo Design"'; matching service packages rendered; facets available.</t>
        </is>
      </c>
      <c r="J40" s="4" t="inlineStr">
        <is>
          <t>P2</t>
        </is>
      </c>
      <c r="K40" s="4" t="inlineStr">
        <is>
          <t>Functional</t>
        </is>
      </c>
      <c r="L40" s="4" t="inlineStr">
        <is>
          <t>Public</t>
        </is>
      </c>
      <c r="M40" s="4" t="inlineStr">
        <is>
          <t>Desktop</t>
        </is>
      </c>
      <c r="N40" s="4" t="inlineStr">
        <is>
          <t>Not Run</t>
        </is>
      </c>
      <c r="O40" s="3" t="inlineStr"/>
      <c r="P40" s="4" t="inlineStr"/>
      <c r="Q40" s="3" t="inlineStr"/>
      <c r="R40" s="4" t="inlineStr"/>
      <c r="S40" s="3" t="inlineStr">
        <is>
          <t>Dedicated search results page.</t>
        </is>
      </c>
    </row>
    <row r="41" ht="65" customHeight="1">
      <c r="A41" s="5" t="inlineStr">
        <is>
          <t>BUY-018</t>
        </is>
      </c>
      <c r="B41" s="6" t="inlineStr">
        <is>
          <t>Buyer Experience</t>
        </is>
      </c>
      <c r="C41" s="6" t="inlineStr">
        <is>
          <t>/package/[id]</t>
        </is>
      </c>
      <c r="D41" s="6" t="inlineStr">
        <is>
          <t>Package Detail View</t>
        </is>
      </c>
      <c r="E41" s="6" t="inlineStr">
        <is>
          <t>Verify package detail page renders complete information without missing data</t>
        </is>
      </c>
      <c r="F41" s="6" t="inlineStr">
        <is>
          <t>Published package exists.</t>
        </is>
      </c>
      <c r="G41" s="6" t="inlineStr">
        <is>
          <t>Package ID: '0af86b74-5211-4a62-a3e4-9aa1e18e225f'</t>
        </is>
      </c>
      <c r="H41" s="6" t="inlineStr">
        <is>
          <t>1. Navigate to /package/[id].
2. Inspect title, seller card, star rating, gallery carousel, description, tier comparison table, FAQs, and reviews.</t>
        </is>
      </c>
      <c r="I41" s="6" t="inlineStr">
        <is>
          <t>All sections render properly; prices formatted with $ symbol; seller badge displays; no NaN or undefined text.</t>
        </is>
      </c>
      <c r="J41" s="7" t="inlineStr">
        <is>
          <t>P1</t>
        </is>
      </c>
      <c r="K41" s="7" t="inlineStr">
        <is>
          <t>UI</t>
        </is>
      </c>
      <c r="L41" s="7" t="inlineStr">
        <is>
          <t>Public / Buyer</t>
        </is>
      </c>
      <c r="M41" s="7" t="inlineStr">
        <is>
          <t>Desktop</t>
        </is>
      </c>
      <c r="N41" s="7" t="inlineStr">
        <is>
          <t>Not Run</t>
        </is>
      </c>
      <c r="O41" s="6" t="inlineStr"/>
      <c r="P41" s="7" t="inlineStr"/>
      <c r="Q41" s="6" t="inlineStr"/>
      <c r="R41" s="7" t="inlineStr"/>
      <c r="S41" s="6" t="inlineStr">
        <is>
          <t>Package detail view verification.</t>
        </is>
      </c>
    </row>
    <row r="42" ht="65" customHeight="1">
      <c r="A42" s="2" t="inlineStr">
        <is>
          <t>BUY-019</t>
        </is>
      </c>
      <c r="B42" s="3" t="inlineStr">
        <is>
          <t>Buyer Experience</t>
        </is>
      </c>
      <c r="C42" s="3" t="inlineStr">
        <is>
          <t>/how-to-buy</t>
        </is>
      </c>
      <c r="D42" s="3" t="inlineStr">
        <is>
          <t>How to Buy Guide</t>
        </is>
      </c>
      <c r="E42" s="3" t="inlineStr">
        <is>
          <t>Review educational guide on hiring freelancers</t>
        </is>
      </c>
      <c r="F42" s="3" t="inlineStr">
        <is>
          <t>None.</t>
        </is>
      </c>
      <c r="G42" s="3" t="inlineStr">
        <is>
          <t>None.</t>
        </is>
      </c>
      <c r="H42" s="3" t="inlineStr">
        <is>
          <t>1. Navigate to /how-to-buy.
2. Review visual process steps (Find, Order, Collaborate, Approve).
3. Click 'Browse Services' CTA.</t>
        </is>
      </c>
      <c r="I42" s="3" t="inlineStr">
        <is>
          <t>Guide displays high quality typography, step cards, and working CTA button leading to /packages.</t>
        </is>
      </c>
      <c r="J42" s="4" t="inlineStr">
        <is>
          <t>P3</t>
        </is>
      </c>
      <c r="K42" s="4" t="inlineStr">
        <is>
          <t>UI</t>
        </is>
      </c>
      <c r="L42" s="4" t="inlineStr">
        <is>
          <t>Public</t>
        </is>
      </c>
      <c r="M42" s="4" t="inlineStr">
        <is>
          <t>Desktop</t>
        </is>
      </c>
      <c r="N42" s="4" t="inlineStr">
        <is>
          <t>Not Run</t>
        </is>
      </c>
      <c r="O42" s="3" t="inlineStr"/>
      <c r="P42" s="4" t="inlineStr"/>
      <c r="Q42" s="3" t="inlineStr"/>
      <c r="R42" s="4" t="inlineStr"/>
      <c r="S42" s="3" t="inlineStr">
        <is>
          <t>Educational onboarding guide.</t>
        </is>
      </c>
    </row>
    <row r="43" ht="65" customHeight="1">
      <c r="A43" s="5" t="inlineStr">
        <is>
          <t>BUY-020</t>
        </is>
      </c>
      <c r="B43" s="6" t="inlineStr">
        <is>
          <t>Buyer Experience</t>
        </is>
      </c>
      <c r="C43" s="6" t="inlineStr">
        <is>
          <t>/select</t>
        </is>
      </c>
      <c r="D43" s="6" t="inlineStr">
        <is>
          <t>Workvence Select Services</t>
        </is>
      </c>
      <c r="E43" s="6" t="inlineStr">
        <is>
          <t>Browse handpicked premium service packages</t>
        </is>
      </c>
      <c r="F43" s="6" t="inlineStr">
        <is>
          <t>None.</t>
        </is>
      </c>
      <c r="G43" s="6" t="inlineStr">
        <is>
          <t>None.</t>
        </is>
      </c>
      <c r="H43" s="6" t="inlineStr">
        <is>
          <t>1. Navigate to /select.
2. Verify curated seller packages, premium badges, and SLA assurances.</t>
        </is>
      </c>
      <c r="I43" s="6" t="inlineStr">
        <is>
          <t>Page displays exclusive tier styling, verified talent badges, and direct checkout triggers.</t>
        </is>
      </c>
      <c r="J43" s="7" t="inlineStr">
        <is>
          <t>P3</t>
        </is>
      </c>
      <c r="K43" s="7" t="inlineStr">
        <is>
          <t>UI</t>
        </is>
      </c>
      <c r="L43" s="7" t="inlineStr">
        <is>
          <t>Public / Buyer</t>
        </is>
      </c>
      <c r="M43" s="7" t="inlineStr">
        <is>
          <t>Desktop</t>
        </is>
      </c>
      <c r="N43" s="7" t="inlineStr">
        <is>
          <t>Not Run</t>
        </is>
      </c>
      <c r="O43" s="6" t="inlineStr"/>
      <c r="P43" s="7" t="inlineStr"/>
      <c r="Q43" s="6" t="inlineStr"/>
      <c r="R43" s="7" t="inlineStr"/>
      <c r="S43" s="6" t="inlineStr">
        <is>
          <t>Curated service discovery.</t>
        </is>
      </c>
    </row>
    <row r="44" ht="65" customHeight="1">
      <c r="A44" s="2" t="inlineStr">
        <is>
          <t>SEL-001</t>
        </is>
      </c>
      <c r="B44" s="3" t="inlineStr">
        <is>
          <t>Seller Hub</t>
        </is>
      </c>
      <c r="C44" s="3" t="inlineStr">
        <is>
          <t>/dashboard/seller</t>
        </is>
      </c>
      <c r="D44" s="3" t="inlineStr">
        <is>
          <t>Seller Dashboard KPIs</t>
        </is>
      </c>
      <c r="E44" s="3" t="inlineStr">
        <is>
          <t>Verify Seller Dashboard metrics and financial counters</t>
        </is>
      </c>
      <c r="F44" s="3" t="inlineStr">
        <is>
          <t>Verified seller logged in with existing orders.</t>
        </is>
      </c>
      <c r="G44" s="3" t="inlineStr">
        <is>
          <t>None.</t>
        </is>
      </c>
      <c r="H44" s="3" t="inlineStr">
        <is>
          <t>1. Navigate to /dashboard/seller.
2. Inspect KPI metric cards: Active Orders, Orders Completed, Total Earnings, Rating, Response Rate.
3. Check for any NaN or undefined strings.</t>
        </is>
      </c>
      <c r="I44" s="3" t="inlineStr">
        <is>
          <t>All cards render with formatted numbers/percentages; no NaN or undefined values; visual charts (if present) load cleanly.</t>
        </is>
      </c>
      <c r="J44" s="4" t="inlineStr">
        <is>
          <t>P1</t>
        </is>
      </c>
      <c r="K44" s="4" t="inlineStr">
        <is>
          <t>UI</t>
        </is>
      </c>
      <c r="L44" s="4" t="inlineStr">
        <is>
          <t>Seller</t>
        </is>
      </c>
      <c r="M44" s="4" t="inlineStr">
        <is>
          <t>Desktop</t>
        </is>
      </c>
      <c r="N44" s="4" t="inlineStr">
        <is>
          <t>Not Run</t>
        </is>
      </c>
      <c r="O44" s="3" t="inlineStr"/>
      <c r="P44" s="4" t="inlineStr"/>
      <c r="Q44" s="3" t="inlineStr"/>
      <c r="R44" s="4" t="inlineStr"/>
      <c r="S44" s="3" t="inlineStr">
        <is>
          <t>Seller operational overview.</t>
        </is>
      </c>
    </row>
    <row r="45" ht="65" customHeight="1">
      <c r="A45" s="5" t="inlineStr">
        <is>
          <t>SEL-002</t>
        </is>
      </c>
      <c r="B45" s="6" t="inlineStr">
        <is>
          <t>Seller Hub</t>
        </is>
      </c>
      <c r="C45" s="6" t="inlineStr">
        <is>
          <t>/dashboard/seller</t>
        </is>
      </c>
      <c r="D45" s="6" t="inlineStr">
        <is>
          <t>Seller Recent Activity</t>
        </is>
      </c>
      <c r="E45" s="6" t="inlineStr">
        <is>
          <t>Inspect Recent Orders table and message notifications on Seller Dashboard</t>
        </is>
      </c>
      <c r="F45" s="6" t="inlineStr">
        <is>
          <t>Seller logged in.</t>
        </is>
      </c>
      <c r="G45" s="6" t="inlineStr">
        <is>
          <t>None.</t>
        </is>
      </c>
      <c r="H45" s="6" t="inlineStr">
        <is>
          <t>1. On /dashboard/seller, scroll to Recent Orders section.
2. Click on an order row.
3. Test link to view all orders.</t>
        </is>
      </c>
      <c r="I45" s="6" t="inlineStr">
        <is>
          <t>Clicking an order navigates to /orders/[id]; 'View All Orders' navigates to /manage-orders.</t>
        </is>
      </c>
      <c r="J45" s="7" t="inlineStr">
        <is>
          <t>P2</t>
        </is>
      </c>
      <c r="K45" s="7" t="inlineStr">
        <is>
          <t>Functional</t>
        </is>
      </c>
      <c r="L45" s="7" t="inlineStr">
        <is>
          <t>Seller</t>
        </is>
      </c>
      <c r="M45" s="7" t="inlineStr">
        <is>
          <t>Desktop</t>
        </is>
      </c>
      <c r="N45" s="7" t="inlineStr">
        <is>
          <t>Not Run</t>
        </is>
      </c>
      <c r="O45" s="6" t="inlineStr"/>
      <c r="P45" s="7" t="inlineStr"/>
      <c r="Q45" s="6" t="inlineStr"/>
      <c r="R45" s="7" t="inlineStr"/>
      <c r="S45" s="6" t="inlineStr">
        <is>
          <t>Dashboard order navigation.</t>
        </is>
      </c>
    </row>
    <row r="46" ht="65" customHeight="1">
      <c r="A46" s="2" t="inlineStr">
        <is>
          <t>SEL-003</t>
        </is>
      </c>
      <c r="B46" s="3" t="inlineStr">
        <is>
          <t>Seller Hub</t>
        </is>
      </c>
      <c r="C46" s="3" t="inlineStr">
        <is>
          <t>/seller/dashboard</t>
        </is>
      </c>
      <c r="D46" s="3" t="inlineStr">
        <is>
          <t>Seller Dashboard Route Alias</t>
        </is>
      </c>
      <c r="E46" s="3" t="inlineStr">
        <is>
          <t>Verify access via alternate route /seller/dashboard</t>
        </is>
      </c>
      <c r="F46" s="3" t="inlineStr">
        <is>
          <t>Seller logged in.</t>
        </is>
      </c>
      <c r="G46" s="3" t="inlineStr">
        <is>
          <t>None.</t>
        </is>
      </c>
      <c r="H46" s="3" t="inlineStr">
        <is>
          <t>1. Enter /seller/dashboard in browser URL bar.</t>
        </is>
      </c>
      <c r="I46" s="3" t="inlineStr">
        <is>
          <t>Renders Seller Dashboard correctly without 404 or redirect loop.</t>
        </is>
      </c>
      <c r="J46" s="4" t="inlineStr">
        <is>
          <t>P3</t>
        </is>
      </c>
      <c r="K46" s="4" t="inlineStr">
        <is>
          <t>Functional</t>
        </is>
      </c>
      <c r="L46" s="4" t="inlineStr">
        <is>
          <t>Seller</t>
        </is>
      </c>
      <c r="M46" s="4" t="inlineStr">
        <is>
          <t>Desktop</t>
        </is>
      </c>
      <c r="N46" s="4" t="inlineStr">
        <is>
          <t>Not Run</t>
        </is>
      </c>
      <c r="O46" s="3" t="inlineStr"/>
      <c r="P46" s="4" t="inlineStr"/>
      <c r="Q46" s="3" t="inlineStr"/>
      <c r="R46" s="4" t="inlineStr"/>
      <c r="S46" s="3" t="inlineStr">
        <is>
          <t>Alias route compatibility.</t>
        </is>
      </c>
    </row>
    <row r="47" ht="65" customHeight="1">
      <c r="A47" s="5" t="inlineStr">
        <is>
          <t>SEL-004</t>
        </is>
      </c>
      <c r="B47" s="6" t="inlineStr">
        <is>
          <t>Seller Hub</t>
        </is>
      </c>
      <c r="C47" s="6" t="inlineStr">
        <is>
          <t>/my-packages</t>
        </is>
      </c>
      <c r="D47" s="6" t="inlineStr">
        <is>
          <t>Package Inventory Listing</t>
        </is>
      </c>
      <c r="E47" s="6" t="inlineStr">
        <is>
          <t>View published packages inventory on /my-packages</t>
        </is>
      </c>
      <c r="F47" s="6" t="inlineStr">
        <is>
          <t>Seller has at least one published package.</t>
        </is>
      </c>
      <c r="G47" s="6" t="inlineStr">
        <is>
          <t>None.</t>
        </is>
      </c>
      <c r="H47" s="6" t="inlineStr">
        <is>
          <t>1. Navigate to /my-packages.
2. Verify table columns: Package, Category, Impressions, Clicks, Orders, Status, Actions.
3. Verify gig thumbnail and title render.</t>
        </is>
      </c>
      <c r="I47" s="6" t="inlineStr">
        <is>
          <t>All published packages render in table; status pills show 'Active'; impressions/clicks display numeric counts.</t>
        </is>
      </c>
      <c r="J47" s="7" t="inlineStr">
        <is>
          <t>P1</t>
        </is>
      </c>
      <c r="K47" s="7" t="inlineStr">
        <is>
          <t>Functional</t>
        </is>
      </c>
      <c r="L47" s="7" t="inlineStr">
        <is>
          <t>Seller</t>
        </is>
      </c>
      <c r="M47" s="7" t="inlineStr">
        <is>
          <t>Desktop</t>
        </is>
      </c>
      <c r="N47" s="7" t="inlineStr">
        <is>
          <t>Not Run</t>
        </is>
      </c>
      <c r="O47" s="6" t="inlineStr"/>
      <c r="P47" s="7" t="inlineStr"/>
      <c r="Q47" s="6" t="inlineStr"/>
      <c r="R47" s="7" t="inlineStr"/>
      <c r="S47" s="6" t="inlineStr">
        <is>
          <t>Inventory management.</t>
        </is>
      </c>
    </row>
    <row r="48" ht="65" customHeight="1">
      <c r="A48" s="2" t="inlineStr">
        <is>
          <t>SEL-005</t>
        </is>
      </c>
      <c r="B48" s="3" t="inlineStr">
        <is>
          <t>Seller Hub</t>
        </is>
      </c>
      <c r="C48" s="3" t="inlineStr">
        <is>
          <t>/my-packages</t>
        </is>
      </c>
      <c r="D48" s="3" t="inlineStr">
        <is>
          <t>Pause / Activate Package</t>
        </is>
      </c>
      <c r="E48" s="3" t="inlineStr">
        <is>
          <t>Toggle package status between Active and Paused</t>
        </is>
      </c>
      <c r="F48" s="3" t="inlineStr">
        <is>
          <t>Active package exists in table.</t>
        </is>
      </c>
      <c r="G48" s="3" t="inlineStr">
        <is>
          <t>None.</t>
        </is>
      </c>
      <c r="H48" s="3" t="inlineStr">
        <is>
          <t>1. On /my-packages, click the status dropdown or toggle for an active package.
2. Select 'Pause'.
3. Confirm action.
4. Select 'Activate'.</t>
        </is>
      </c>
      <c r="I48" s="3" t="inlineStr">
        <is>
          <t>API dispatches PATCH/PUT request; package status badge updates to 'Paused' (and package hidden from public search); activating restores 'Active' status.</t>
        </is>
      </c>
      <c r="J48" s="4" t="inlineStr">
        <is>
          <t>P2</t>
        </is>
      </c>
      <c r="K48" s="4" t="inlineStr">
        <is>
          <t>Functional</t>
        </is>
      </c>
      <c r="L48" s="4" t="inlineStr">
        <is>
          <t>Seller</t>
        </is>
      </c>
      <c r="M48" s="4" t="inlineStr">
        <is>
          <t>Desktop</t>
        </is>
      </c>
      <c r="N48" s="4" t="inlineStr">
        <is>
          <t>Not Run</t>
        </is>
      </c>
      <c r="O48" s="3" t="inlineStr"/>
      <c r="P48" s="4" t="inlineStr"/>
      <c r="Q48" s="3" t="inlineStr"/>
      <c r="R48" s="4" t="inlineStr"/>
      <c r="S48" s="3" t="inlineStr">
        <is>
          <t>Gig availability toggle.</t>
        </is>
      </c>
    </row>
    <row r="49" ht="65" customHeight="1">
      <c r="A49" s="5" t="inlineStr">
        <is>
          <t>SEL-006</t>
        </is>
      </c>
      <c r="B49" s="6" t="inlineStr">
        <is>
          <t>Seller Hub</t>
        </is>
      </c>
      <c r="C49" s="6" t="inlineStr">
        <is>
          <t>/my-packages</t>
        </is>
      </c>
      <c r="D49" s="6" t="inlineStr">
        <is>
          <t>Delete Package Action</t>
        </is>
      </c>
      <c r="E49" s="6" t="inlineStr">
        <is>
          <t>Delete a draft or paused package with confirmation modal</t>
        </is>
      </c>
      <c r="F49" s="6" t="inlineStr">
        <is>
          <t>Seller has a test package created.</t>
        </is>
      </c>
      <c r="G49" s="6" t="inlineStr">
        <is>
          <t>None.</t>
        </is>
      </c>
      <c r="H49" s="6" t="inlineStr">
        <is>
          <t>1. On /my-packages, locate test package.
2. Click 'Delete' action in kebab/menu dropdown.
3. Verify SweetAlert2 or modal prompt: 'Are you sure you want to delete this package?'.
4. Click 'Confirm'.</t>
        </is>
      </c>
      <c r="I49" s="6" t="inlineStr">
        <is>
          <t>Package is deleted via DELETE /gigs/:id; success toast displays; package row is removed from table.</t>
        </is>
      </c>
      <c r="J49" s="7" t="inlineStr">
        <is>
          <t>P2</t>
        </is>
      </c>
      <c r="K49" s="7" t="inlineStr">
        <is>
          <t>Functional</t>
        </is>
      </c>
      <c r="L49" s="7" t="inlineStr">
        <is>
          <t>Seller</t>
        </is>
      </c>
      <c r="M49" s="7" t="inlineStr">
        <is>
          <t>Desktop</t>
        </is>
      </c>
      <c r="N49" s="7" t="inlineStr">
        <is>
          <t>Not Run</t>
        </is>
      </c>
      <c r="O49" s="6" t="inlineStr"/>
      <c r="P49" s="7" t="inlineStr"/>
      <c r="Q49" s="6" t="inlineStr"/>
      <c r="R49" s="7" t="inlineStr"/>
      <c r="S49" s="6" t="inlineStr">
        <is>
          <t>Package deletion.</t>
        </is>
      </c>
    </row>
    <row r="50" ht="65" customHeight="1">
      <c r="A50" s="2" t="inlineStr">
        <is>
          <t>SEL-007</t>
        </is>
      </c>
      <c r="B50" s="3" t="inlineStr">
        <is>
          <t>Seller Hub</t>
        </is>
      </c>
      <c r="C50" s="3" t="inlineStr">
        <is>
          <t>/manage-orders</t>
        </is>
      </c>
      <c r="D50" s="3" t="inlineStr">
        <is>
          <t>Seller Order Management Table</t>
        </is>
      </c>
      <c r="E50" s="3" t="inlineStr">
        <is>
          <t>Filter seller orders by status (Active, Delivered, Completed, Cancelled)</t>
        </is>
      </c>
      <c r="F50" s="3" t="inlineStr">
        <is>
          <t>Seller has multiple orders in different states.</t>
        </is>
      </c>
      <c r="G50" s="3" t="inlineStr">
        <is>
          <t>None.</t>
        </is>
      </c>
      <c r="H50" s="3" t="inlineStr">
        <is>
          <t>1. Navigate to /manage-orders.
2. Inspect status tabs: 'All', 'Active', 'Delivered', 'Completed', 'Cancelled'.
3. Click 'Active' tab.
4. Click 'Delivered' tab.</t>
        </is>
      </c>
      <c r="I50" s="3" t="inlineStr">
        <is>
          <t>Table re-filters dynamically; only orders matching active tab are shown; counts in tab badges correspond to row counts.</t>
        </is>
      </c>
      <c r="J50" s="4" t="inlineStr">
        <is>
          <t>P1</t>
        </is>
      </c>
      <c r="K50" s="4" t="inlineStr">
        <is>
          <t>Functional</t>
        </is>
      </c>
      <c r="L50" s="4" t="inlineStr">
        <is>
          <t>Seller</t>
        </is>
      </c>
      <c r="M50" s="4" t="inlineStr">
        <is>
          <t>Desktop</t>
        </is>
      </c>
      <c r="N50" s="4" t="inlineStr">
        <is>
          <t>Not Run</t>
        </is>
      </c>
      <c r="O50" s="3" t="inlineStr"/>
      <c r="P50" s="4" t="inlineStr"/>
      <c r="Q50" s="3" t="inlineStr"/>
      <c r="R50" s="4" t="inlineStr"/>
      <c r="S50" s="3" t="inlineStr">
        <is>
          <t>Seller order filtering.</t>
        </is>
      </c>
    </row>
    <row r="51" ht="65" customHeight="1">
      <c r="A51" s="5" t="inlineStr">
        <is>
          <t>SEL-008</t>
        </is>
      </c>
      <c r="B51" s="6" t="inlineStr">
        <is>
          <t>Seller Hub</t>
        </is>
      </c>
      <c r="C51" s="6" t="inlineStr">
        <is>
          <t>/manage-orders</t>
        </is>
      </c>
      <c r="D51" s="6" t="inlineStr">
        <is>
          <t>Order Countdown Timer</t>
        </is>
      </c>
      <c r="E51" s="6" t="inlineStr">
        <is>
          <t>Verify remaining delivery time countdown on active orders</t>
        </is>
      </c>
      <c r="F51" s="6" t="inlineStr">
        <is>
          <t>Active order with delivery deadline.</t>
        </is>
      </c>
      <c r="G51" s="6" t="inlineStr">
        <is>
          <t>None.</t>
        </is>
      </c>
      <c r="H51" s="6" t="inlineStr">
        <is>
          <t>1. On /manage-orders, locate active order row.
2. Inspect 'Due In' column.</t>
        </is>
      </c>
      <c r="I51" s="6" t="inlineStr">
        <is>
          <t>Countdown timer displays remaining days, hours, and minutes; color coded (green for ample time, red/orange when due within 24 hours).</t>
        </is>
      </c>
      <c r="J51" s="7" t="inlineStr">
        <is>
          <t>P2</t>
        </is>
      </c>
      <c r="K51" s="7" t="inlineStr">
        <is>
          <t>UI</t>
        </is>
      </c>
      <c r="L51" s="7" t="inlineStr">
        <is>
          <t>Seller</t>
        </is>
      </c>
      <c r="M51" s="7" t="inlineStr">
        <is>
          <t>Desktop</t>
        </is>
      </c>
      <c r="N51" s="7" t="inlineStr">
        <is>
          <t>Not Run</t>
        </is>
      </c>
      <c r="O51" s="6" t="inlineStr"/>
      <c r="P51" s="7" t="inlineStr"/>
      <c r="Q51" s="6" t="inlineStr"/>
      <c r="R51" s="7" t="inlineStr"/>
      <c r="S51" s="6" t="inlineStr">
        <is>
          <t>SLA delivery deadline display.</t>
        </is>
      </c>
    </row>
    <row r="52" ht="65" customHeight="1">
      <c r="A52" s="2" t="inlineStr">
        <is>
          <t>SEL-009</t>
        </is>
      </c>
      <c r="B52" s="3" t="inlineStr">
        <is>
          <t>Seller Hub</t>
        </is>
      </c>
      <c r="C52" s="3" t="inlineStr">
        <is>
          <t>/earnings</t>
        </is>
      </c>
      <c r="D52" s="3" t="inlineStr">
        <is>
          <t>Earnings Financial Overview</t>
        </is>
      </c>
      <c r="E52" s="3" t="inlineStr">
        <is>
          <t>Inspect seller earnings metrics and balances</t>
        </is>
      </c>
      <c r="F52" s="3" t="inlineStr">
        <is>
          <t>Seller account with completed order history.</t>
        </is>
      </c>
      <c r="G52" s="3" t="inlineStr">
        <is>
          <t>None.</t>
        </is>
      </c>
      <c r="H52" s="3" t="inlineStr">
        <is>
          <t>1. Navigate to /earnings.
2. Verify metric cards: Net Income, Withdrawn, Used for Purchases, Pending Clearance, Available for Withdrawal.
3. Inspect currency formatting.</t>
        </is>
      </c>
      <c r="I52" s="3" t="inlineStr">
        <is>
          <t>All figures render in USD ($) format without NaN or undefined; Available for Withdrawal matches Net Income minus Withdrawn/Pending.</t>
        </is>
      </c>
      <c r="J52" s="4" t="inlineStr">
        <is>
          <t>P1</t>
        </is>
      </c>
      <c r="K52" s="4" t="inlineStr">
        <is>
          <t>UI</t>
        </is>
      </c>
      <c r="L52" s="4" t="inlineStr">
        <is>
          <t>Seller</t>
        </is>
      </c>
      <c r="M52" s="4" t="inlineStr">
        <is>
          <t>Desktop</t>
        </is>
      </c>
      <c r="N52" s="4" t="inlineStr">
        <is>
          <t>Not Run</t>
        </is>
      </c>
      <c r="O52" s="3" t="inlineStr"/>
      <c r="P52" s="4" t="inlineStr"/>
      <c r="Q52" s="3" t="inlineStr"/>
      <c r="R52" s="4" t="inlineStr"/>
      <c r="S52" s="3" t="inlineStr">
        <is>
          <t>Financial balance verification.</t>
        </is>
      </c>
    </row>
    <row r="53" ht="65" customHeight="1">
      <c r="A53" s="5" t="inlineStr">
        <is>
          <t>SEL-010</t>
        </is>
      </c>
      <c r="B53" s="6" t="inlineStr">
        <is>
          <t>Seller Hub</t>
        </is>
      </c>
      <c r="C53" s="6" t="inlineStr">
        <is>
          <t>/earnings</t>
        </is>
      </c>
      <c r="D53" s="6" t="inlineStr">
        <is>
          <t>Stripe Connect Onboarding</t>
        </is>
      </c>
      <c r="E53" s="6" t="inlineStr">
        <is>
          <t>Trigger Stripe Connect express account onboarding from /earnings</t>
        </is>
      </c>
      <c r="F53" s="6" t="inlineStr">
        <is>
          <t>Seller with unlinked payout account.</t>
        </is>
      </c>
      <c r="G53" s="6" t="inlineStr">
        <is>
          <t>None.</t>
        </is>
      </c>
      <c r="H53" s="6" t="inlineStr">
        <is>
          <t>1. On /earnings, locate 'Connect with Stripe' / 'Set Up Payouts' button.
2. Click button.</t>
        </is>
      </c>
      <c r="I53" s="6" t="inlineStr">
        <is>
          <t>API generates Stripe account link (POST /payouts/stripe-connect); browser navigates to Stripe Hosted Onboarding URL.</t>
        </is>
      </c>
      <c r="J53" s="7" t="inlineStr">
        <is>
          <t>P1</t>
        </is>
      </c>
      <c r="K53" s="7" t="inlineStr">
        <is>
          <t>Integration</t>
        </is>
      </c>
      <c r="L53" s="7" t="inlineStr">
        <is>
          <t>Seller</t>
        </is>
      </c>
      <c r="M53" s="7" t="inlineStr">
        <is>
          <t>Desktop</t>
        </is>
      </c>
      <c r="N53" s="7" t="inlineStr">
        <is>
          <t>Not Run</t>
        </is>
      </c>
      <c r="O53" s="6" t="inlineStr"/>
      <c r="P53" s="7" t="inlineStr"/>
      <c r="Q53" s="6" t="inlineStr"/>
      <c r="R53" s="7" t="inlineStr"/>
      <c r="S53" s="6" t="inlineStr">
        <is>
          <t>Payout gateway onboarding.</t>
        </is>
      </c>
    </row>
    <row r="54" ht="65" customHeight="1">
      <c r="A54" s="2" t="inlineStr">
        <is>
          <t>SEL-011</t>
        </is>
      </c>
      <c r="B54" s="3" t="inlineStr">
        <is>
          <t>Seller Hub</t>
        </is>
      </c>
      <c r="C54" s="3" t="inlineStr">
        <is>
          <t>/earnings</t>
        </is>
      </c>
      <c r="D54" s="3" t="inlineStr">
        <is>
          <t>Withdrawal Request Modal</t>
        </is>
      </c>
      <c r="E54" s="3" t="inlineStr">
        <is>
          <t>Request payout withdrawal of available funds</t>
        </is>
      </c>
      <c r="F54" s="3" t="inlineStr">
        <is>
          <t>Seller has available balance &gt; minimum payout threshold ($20).</t>
        </is>
      </c>
      <c r="G54" s="3" t="inlineStr">
        <is>
          <t>Withdrawal Amount: $100.00</t>
        </is>
      </c>
      <c r="H54" s="3" t="inlineStr">
        <is>
          <t>1. On /earnings, click 'Withdraw Balance' button.
2. Enter withdrawal amount.
3. Submit withdrawal request.</t>
        </is>
      </c>
      <c r="I54" s="3" t="inlineStr">
        <is>
          <t>Withdrawal request submitted (POST /payouts/withdraw); success toast confirms submission; pending balance updates; transaction recorded in Payout History table.</t>
        </is>
      </c>
      <c r="J54" s="4" t="inlineStr">
        <is>
          <t>P1</t>
        </is>
      </c>
      <c r="K54" s="4" t="inlineStr">
        <is>
          <t>Functional</t>
        </is>
      </c>
      <c r="L54" s="4" t="inlineStr">
        <is>
          <t>Seller</t>
        </is>
      </c>
      <c r="M54" s="4" t="inlineStr">
        <is>
          <t>Desktop</t>
        </is>
      </c>
      <c r="N54" s="4" t="inlineStr">
        <is>
          <t>Not Run</t>
        </is>
      </c>
      <c r="O54" s="3" t="inlineStr"/>
      <c r="P54" s="4" t="inlineStr"/>
      <c r="Q54" s="3" t="inlineStr"/>
      <c r="R54" s="4" t="inlineStr"/>
      <c r="S54" s="3" t="inlineStr">
        <is>
          <t>Fund withdrawal execution.</t>
        </is>
      </c>
    </row>
    <row r="55" ht="65" customHeight="1">
      <c r="A55" s="5" t="inlineStr">
        <is>
          <t>SEL-012</t>
        </is>
      </c>
      <c r="B55" s="6" t="inlineStr">
        <is>
          <t>Seller Hub</t>
        </is>
      </c>
      <c r="C55" s="6" t="inlineStr">
        <is>
          <t>/kyc</t>
        </is>
      </c>
      <c r="D55" s="6" t="inlineStr">
        <is>
          <t>KYC Verification Form Render</t>
        </is>
      </c>
      <c r="E55" s="6" t="inlineStr">
        <is>
          <t>Verify KYC Identity Verification multi-step form rendering</t>
        </is>
      </c>
      <c r="F55" s="6" t="inlineStr">
        <is>
          <t>Seller with Unverified KYC status.</t>
        </is>
      </c>
      <c r="G55" s="6" t="inlineStr">
        <is>
          <t>None.</t>
        </is>
      </c>
      <c r="H55" s="6" t="inlineStr">
        <is>
          <t>1. Navigate to /kyc.
2. Verify step indicators (Personal Info, ID Document, Selfie/Proof of Address, Review).
3. Inspect required fields.</t>
        </is>
      </c>
      <c r="I55" s="6" t="inlineStr">
        <is>
          <t>Form renders with step 1 active; document type selector offers Passport, National ID, Driver's License; clean layout.</t>
        </is>
      </c>
      <c r="J55" s="7" t="inlineStr">
        <is>
          <t>P1</t>
        </is>
      </c>
      <c r="K55" s="7" t="inlineStr">
        <is>
          <t>UI</t>
        </is>
      </c>
      <c r="L55" s="7" t="inlineStr">
        <is>
          <t>Seller</t>
        </is>
      </c>
      <c r="M55" s="7" t="inlineStr">
        <is>
          <t>Desktop</t>
        </is>
      </c>
      <c r="N55" s="7" t="inlineStr">
        <is>
          <t>Not Run</t>
        </is>
      </c>
      <c r="O55" s="6" t="inlineStr"/>
      <c r="P55" s="7" t="inlineStr"/>
      <c r="Q55" s="6" t="inlineStr"/>
      <c r="R55" s="7" t="inlineStr"/>
      <c r="S55" s="6" t="inlineStr">
        <is>
          <t>KYC portal presentation.</t>
        </is>
      </c>
    </row>
    <row r="56" ht="65" customHeight="1">
      <c r="A56" s="2" t="inlineStr">
        <is>
          <t>SEL-013</t>
        </is>
      </c>
      <c r="B56" s="3" t="inlineStr">
        <is>
          <t>Seller Hub</t>
        </is>
      </c>
      <c r="C56" s="3" t="inlineStr">
        <is>
          <t>/kyc</t>
        </is>
      </c>
      <c r="D56" s="3" t="inlineStr">
        <is>
          <t>KYC Document Upload</t>
        </is>
      </c>
      <c r="E56" s="3" t="inlineStr">
        <is>
          <t>Upload valid ID document and selfie image</t>
        </is>
      </c>
      <c r="F56" s="3" t="inlineStr">
        <is>
          <t>Valid image assets: test-passport.jpg, test-selfie.jpg.</t>
        </is>
      </c>
      <c r="G56" s="3" t="inlineStr">
        <is>
          <t>Document: 'Passport', Country: 'United States', Full Name: 'Johnathan Doe'</t>
        </is>
      </c>
      <c r="H56" s="3" t="inlineStr">
        <is>
          <t>1. Fill personal details in Step 1 and click Next.
2. In Step 2, select 'Passport'.
3. Attach front image file.
4. Attach selfie holding ID in Step 3.
5. Click 'Submit Verification'.</t>
        </is>
      </c>
      <c r="I56" s="3" t="inlineStr">
        <is>
          <t>Files upload to Cloudinary/S3; progress bar displays; submission succeeds; user receives confirmation 'Verification under review'; status updates to 'Pending'.</t>
        </is>
      </c>
      <c r="J56" s="4" t="inlineStr">
        <is>
          <t>P1</t>
        </is>
      </c>
      <c r="K56" s="4" t="inlineStr">
        <is>
          <t>Functional</t>
        </is>
      </c>
      <c r="L56" s="4" t="inlineStr">
        <is>
          <t>Seller</t>
        </is>
      </c>
      <c r="M56" s="4" t="inlineStr">
        <is>
          <t>Desktop</t>
        </is>
      </c>
      <c r="N56" s="4" t="inlineStr">
        <is>
          <t>Not Run</t>
        </is>
      </c>
      <c r="O56" s="3" t="inlineStr"/>
      <c r="P56" s="4" t="inlineStr"/>
      <c r="Q56" s="3" t="inlineStr"/>
      <c r="R56" s="4" t="inlineStr"/>
      <c r="S56" s="3" t="inlineStr">
        <is>
          <t>Identity document submission.</t>
        </is>
      </c>
    </row>
    <row r="57" ht="65" customHeight="1">
      <c r="A57" s="5" t="inlineStr">
        <is>
          <t>SEL-014</t>
        </is>
      </c>
      <c r="B57" s="6" t="inlineStr">
        <is>
          <t>Seller Hub</t>
        </is>
      </c>
      <c r="C57" s="6" t="inlineStr">
        <is>
          <t>/kyc</t>
        </is>
      </c>
      <c r="D57" s="6" t="inlineStr">
        <is>
          <t>KYC Validation Errors</t>
        </is>
      </c>
      <c r="E57" s="6" t="inlineStr">
        <is>
          <t>Attempt KYC submission without uploading required documents</t>
        </is>
      </c>
      <c r="F57" s="6" t="inlineStr">
        <is>
          <t>None.</t>
        </is>
      </c>
      <c r="G57" s="6" t="inlineStr">
        <is>
          <t>None.</t>
        </is>
      </c>
      <c r="H57" s="6" t="inlineStr">
        <is>
          <t>1. On /kyc document step, leave file inputs empty.
2. Click 'Next' or 'Submit'.</t>
        </is>
      </c>
      <c r="I57" s="6" t="inlineStr">
        <is>
          <t>Form submission blocked; validation error alerts user 'Please upload a clear copy of your identity document'; no network request dispatched.</t>
        </is>
      </c>
      <c r="J57" s="7" t="inlineStr">
        <is>
          <t>P2</t>
        </is>
      </c>
      <c r="K57" s="7" t="inlineStr">
        <is>
          <t>Negative</t>
        </is>
      </c>
      <c r="L57" s="7" t="inlineStr">
        <is>
          <t>Seller</t>
        </is>
      </c>
      <c r="M57" s="7" t="inlineStr">
        <is>
          <t>Desktop</t>
        </is>
      </c>
      <c r="N57" s="7" t="inlineStr">
        <is>
          <t>Not Run</t>
        </is>
      </c>
      <c r="O57" s="6" t="inlineStr"/>
      <c r="P57" s="7" t="inlineStr"/>
      <c r="Q57" s="6" t="inlineStr"/>
      <c r="R57" s="7" t="inlineStr"/>
      <c r="S57" s="6" t="inlineStr">
        <is>
          <t>Document upload enforcement.</t>
        </is>
      </c>
    </row>
    <row r="58" ht="65" customHeight="1">
      <c r="A58" s="2" t="inlineStr">
        <is>
          <t>SEL-015</t>
        </is>
      </c>
      <c r="B58" s="3" t="inlineStr">
        <is>
          <t>Seller Hub</t>
        </is>
      </c>
      <c r="C58" s="3" t="inlineStr">
        <is>
          <t>/settings/verification</t>
        </is>
      </c>
      <c r="D58" s="3" t="inlineStr">
        <is>
          <t>Account Verification Status</t>
        </is>
      </c>
      <c r="E58" s="3" t="inlineStr">
        <is>
          <t>Inspect verification badges on /settings/verification</t>
        </is>
      </c>
      <c r="F58" s="3" t="inlineStr">
        <is>
          <t>Seller logged in.</t>
        </is>
      </c>
      <c r="G58" s="3" t="inlineStr">
        <is>
          <t>None.</t>
        </is>
      </c>
      <c r="H58" s="3" t="inlineStr">
        <is>
          <t>1. Navigate to /settings/verification.
2. Inspect Email Verification badge, Phone Verification badge, and Identity (KYC) badge.</t>
        </is>
      </c>
      <c r="I58" s="3" t="inlineStr">
        <is>
          <t>Each badge displays current status (Verified green, Pending yellow, Unverified gray); action buttons provided for unverified items.</t>
        </is>
      </c>
      <c r="J58" s="4" t="inlineStr">
        <is>
          <t>P2</t>
        </is>
      </c>
      <c r="K58" s="4" t="inlineStr">
        <is>
          <t>UI</t>
        </is>
      </c>
      <c r="L58" s="4" t="inlineStr">
        <is>
          <t>Seller</t>
        </is>
      </c>
      <c r="M58" s="4" t="inlineStr">
        <is>
          <t>Desktop</t>
        </is>
      </c>
      <c r="N58" s="4" t="inlineStr">
        <is>
          <t>Not Run</t>
        </is>
      </c>
      <c r="O58" s="3" t="inlineStr"/>
      <c r="P58" s="4" t="inlineStr"/>
      <c r="Q58" s="3" t="inlineStr"/>
      <c r="R58" s="4" t="inlineStr"/>
      <c r="S58" s="3" t="inlineStr">
        <is>
          <t>Verification settings overview.</t>
        </is>
      </c>
    </row>
    <row r="59" ht="65" customHeight="1">
      <c r="A59" s="5" t="inlineStr">
        <is>
          <t>SEL-016</t>
        </is>
      </c>
      <c r="B59" s="6" t="inlineStr">
        <is>
          <t>Seller Hub</t>
        </is>
      </c>
      <c r="C59" s="6" t="inlineStr">
        <is>
          <t>/settings/verification</t>
        </is>
      </c>
      <c r="D59" s="6" t="inlineStr">
        <is>
          <t>Phone Verification Trigger</t>
        </is>
      </c>
      <c r="E59" s="6" t="inlineStr">
        <is>
          <t>Trigger SMS phone number verification OTP modal</t>
        </is>
      </c>
      <c r="F59" s="6" t="inlineStr">
        <is>
          <t>Seller with unverified phone number.</t>
        </is>
      </c>
      <c r="G59" s="6" t="inlineStr">
        <is>
          <t>Phone: '+1 555-0199'</t>
        </is>
      </c>
      <c r="H59" s="6" t="inlineStr">
        <is>
          <t>1. On /settings/verification, click 'Verify Phone'.
2. Select country code and enter phone number.
3. Click 'Send Code'.</t>
        </is>
      </c>
      <c r="I59" s="6" t="inlineStr">
        <is>
          <t>Modal displays 6-digit OTP input; timer countdown for resend begins; API POST /auth/phone-otp dispatched.</t>
        </is>
      </c>
      <c r="J59" s="7" t="inlineStr">
        <is>
          <t>P2</t>
        </is>
      </c>
      <c r="K59" s="7" t="inlineStr">
        <is>
          <t>Functional</t>
        </is>
      </c>
      <c r="L59" s="7" t="inlineStr">
        <is>
          <t>Seller</t>
        </is>
      </c>
      <c r="M59" s="7" t="inlineStr">
        <is>
          <t>Desktop</t>
        </is>
      </c>
      <c r="N59" s="7" t="inlineStr">
        <is>
          <t>Not Run</t>
        </is>
      </c>
      <c r="O59" s="6" t="inlineStr"/>
      <c r="P59" s="7" t="inlineStr"/>
      <c r="Q59" s="6" t="inlineStr"/>
      <c r="R59" s="7" t="inlineStr"/>
      <c r="S59" s="6" t="inlineStr">
        <is>
          <t>2FA / Phone verification.</t>
        </is>
      </c>
    </row>
    <row r="60" ht="65" customHeight="1">
      <c r="A60" s="2" t="inlineStr">
        <is>
          <t>SEL-017</t>
        </is>
      </c>
      <c r="B60" s="3" t="inlineStr">
        <is>
          <t>Seller Hub</t>
        </is>
      </c>
      <c r="C60" s="3" t="inlineStr">
        <is>
          <t>/seller/suspended</t>
        </is>
      </c>
      <c r="D60" s="3" t="inlineStr">
        <is>
          <t>Suspended Seller State</t>
        </is>
      </c>
      <c r="E60" s="3" t="inlineStr">
        <is>
          <t>Verify restricted notice for suspended seller accounts</t>
        </is>
      </c>
      <c r="F60" s="3" t="inlineStr">
        <is>
          <t>Account marked isSuspended: true in database.</t>
        </is>
      </c>
      <c r="G60" s="3" t="inlineStr">
        <is>
          <t>None.</t>
        </is>
      </c>
      <c r="H60" s="3" t="inlineStr">
        <is>
          <t>1. Log in as suspended seller.
2. Navigate to /seller/suspended.</t>
        </is>
      </c>
      <c r="I60" s="3" t="inlineStr">
        <is>
          <t>Page displays clear notice: 'Your seller account has been suspended for policy violations'; appeals CTA button links to /support/new or contact support.</t>
        </is>
      </c>
      <c r="J60" s="4" t="inlineStr">
        <is>
          <t>P1</t>
        </is>
      </c>
      <c r="K60" s="4" t="inlineStr">
        <is>
          <t>Security</t>
        </is>
      </c>
      <c r="L60" s="4" t="inlineStr">
        <is>
          <t>Seller</t>
        </is>
      </c>
      <c r="M60" s="4" t="inlineStr">
        <is>
          <t>Desktop</t>
        </is>
      </c>
      <c r="N60" s="4" t="inlineStr">
        <is>
          <t>Not Run</t>
        </is>
      </c>
      <c r="O60" s="3" t="inlineStr"/>
      <c r="P60" s="4" t="inlineStr"/>
      <c r="Q60" s="3" t="inlineStr"/>
      <c r="R60" s="4" t="inlineStr"/>
      <c r="S60" s="3" t="inlineStr">
        <is>
          <t>Suspension policy enforcement.</t>
        </is>
      </c>
    </row>
    <row r="61" ht="65" customHeight="1">
      <c r="A61" s="5" t="inlineStr">
        <is>
          <t>SEL-018</t>
        </is>
      </c>
      <c r="B61" s="6" t="inlineStr">
        <is>
          <t>Seller Hub</t>
        </is>
      </c>
      <c r="C61" s="6" t="inlineStr">
        <is>
          <t>/suspended-seller</t>
        </is>
      </c>
      <c r="D61" s="6" t="inlineStr">
        <is>
          <t>Suspended Seller Alternate Route</t>
        </is>
      </c>
      <c r="E61" s="6" t="inlineStr">
        <is>
          <t>Verify alternate suspended route behavior</t>
        </is>
      </c>
      <c r="F61" s="6" t="inlineStr">
        <is>
          <t>Suspended seller account.</t>
        </is>
      </c>
      <c r="G61" s="6" t="inlineStr">
        <is>
          <t>None.</t>
        </is>
      </c>
      <c r="H61" s="6" t="inlineStr">
        <is>
          <t>1. Navigate to /suspended-seller.</t>
        </is>
      </c>
      <c r="I61" s="6" t="inlineStr">
        <is>
          <t>Renders suspended notice matching /seller/suspended; provides support link.</t>
        </is>
      </c>
      <c r="J61" s="7" t="inlineStr">
        <is>
          <t>P3</t>
        </is>
      </c>
      <c r="K61" s="7" t="inlineStr">
        <is>
          <t>Functional</t>
        </is>
      </c>
      <c r="L61" s="7" t="inlineStr">
        <is>
          <t>Seller</t>
        </is>
      </c>
      <c r="M61" s="7" t="inlineStr">
        <is>
          <t>Desktop</t>
        </is>
      </c>
      <c r="N61" s="7" t="inlineStr">
        <is>
          <t>Not Run</t>
        </is>
      </c>
      <c r="O61" s="6" t="inlineStr"/>
      <c r="P61" s="7" t="inlineStr"/>
      <c r="Q61" s="6" t="inlineStr"/>
      <c r="R61" s="7" t="inlineStr"/>
      <c r="S61" s="6" t="inlineStr">
        <is>
          <t>Route alias check.</t>
        </is>
      </c>
    </row>
    <row r="62" ht="65" customHeight="1">
      <c r="A62" s="2" t="inlineStr">
        <is>
          <t>SEL-019</t>
        </is>
      </c>
      <c r="B62" s="3" t="inlineStr">
        <is>
          <t>Seller Hub</t>
        </is>
      </c>
      <c r="C62" s="3" t="inlineStr">
        <is>
          <t>/become-a-seller</t>
        </is>
      </c>
      <c r="D62" s="3" t="inlineStr">
        <is>
          <t>Become a Seller Flow</t>
        </is>
      </c>
      <c r="E62" s="3" t="inlineStr">
        <is>
          <t>Click 'Become a Seller' CTA from public landing page</t>
        </is>
      </c>
      <c r="F62" s="3" t="inlineStr">
        <is>
          <t>User logged in as Buyer (non-seller).</t>
        </is>
      </c>
      <c r="G62" s="3" t="inlineStr">
        <is>
          <t>None.</t>
        </is>
      </c>
      <c r="H62" s="3" t="inlineStr">
        <is>
          <t>1. Navigate to /become-a-seller.
2. Review earning calculator slider.
3. Click 'Start Selling' CTA.</t>
        </is>
      </c>
      <c r="I62" s="3" t="inlineStr">
        <is>
          <t>Routes user to seller onboarding wizard or /register?seller=true with seller onboarding intent.</t>
        </is>
      </c>
      <c r="J62" s="4" t="inlineStr">
        <is>
          <t>P2</t>
        </is>
      </c>
      <c r="K62" s="4" t="inlineStr">
        <is>
          <t>Functional</t>
        </is>
      </c>
      <c r="L62" s="4" t="inlineStr">
        <is>
          <t>Public / Buyer</t>
        </is>
      </c>
      <c r="M62" s="4" t="inlineStr">
        <is>
          <t>Desktop</t>
        </is>
      </c>
      <c r="N62" s="4" t="inlineStr">
        <is>
          <t>Not Run</t>
        </is>
      </c>
      <c r="O62" s="3" t="inlineStr"/>
      <c r="P62" s="4" t="inlineStr"/>
      <c r="Q62" s="3" t="inlineStr"/>
      <c r="R62" s="4" t="inlineStr"/>
      <c r="S62" s="3" t="inlineStr">
        <is>
          <t>Buyer to seller conversion.</t>
        </is>
      </c>
    </row>
    <row r="63" ht="65" customHeight="1">
      <c r="A63" s="5" t="inlineStr">
        <is>
          <t>SEL-020</t>
        </is>
      </c>
      <c r="B63" s="6" t="inlineStr">
        <is>
          <t>Seller Hub</t>
        </is>
      </c>
      <c r="C63" s="6" t="inlineStr">
        <is>
          <t>/sellers</t>
        </is>
      </c>
      <c r="D63" s="6" t="inlineStr">
        <is>
          <t>Top Sellers Directory</t>
        </is>
      </c>
      <c r="E63" s="6" t="inlineStr">
        <is>
          <t>Browse verified sellers directory with category filter</t>
        </is>
      </c>
      <c r="F63" s="6" t="inlineStr">
        <is>
          <t>None.</t>
        </is>
      </c>
      <c r="G63" s="6" t="inlineStr">
        <is>
          <t>Category: 'Web Development'</t>
        </is>
      </c>
      <c r="H63" s="6" t="inlineStr">
        <is>
          <t>1. Navigate to /sellers.
2. Filter by 'Web Development'.
3. Click on a seller profile card.</t>
        </is>
      </c>
      <c r="I63" s="6" t="inlineStr">
        <is>
          <t>Seller directory renders verified freelancers; clicking a card opens /seller/[username] profile view.</t>
        </is>
      </c>
      <c r="J63" s="7" t="inlineStr">
        <is>
          <t>P2</t>
        </is>
      </c>
      <c r="K63" s="7" t="inlineStr">
        <is>
          <t>Functional</t>
        </is>
      </c>
      <c r="L63" s="7" t="inlineStr">
        <is>
          <t>Public</t>
        </is>
      </c>
      <c r="M63" s="7" t="inlineStr">
        <is>
          <t>Desktop</t>
        </is>
      </c>
      <c r="N63" s="7" t="inlineStr">
        <is>
          <t>Not Run</t>
        </is>
      </c>
      <c r="O63" s="6" t="inlineStr"/>
      <c r="P63" s="7" t="inlineStr"/>
      <c r="Q63" s="6" t="inlineStr"/>
      <c r="R63" s="7" t="inlineStr"/>
      <c r="S63" s="6" t="inlineStr">
        <is>
          <t>Talent directory browsing.</t>
        </is>
      </c>
    </row>
    <row r="64" ht="65" customHeight="1">
      <c r="A64" s="2" t="inlineStr">
        <is>
          <t>PKG-001</t>
        </is>
      </c>
      <c r="B64" s="3" t="inlineStr">
        <is>
          <t>Package Studio</t>
        </is>
      </c>
      <c r="C64" s="3" t="inlineStr">
        <is>
          <t>/organize</t>
        </is>
      </c>
      <c r="D64" s="3" t="inlineStr">
        <is>
          <t>Create Package Overview</t>
        </is>
      </c>
      <c r="E64" s="3" t="inlineStr">
        <is>
          <t>Verify Package Studio renders all form steps and sections</t>
        </is>
      </c>
      <c r="F64" s="3" t="inlineStr">
        <is>
          <t>Verified seller logged in.</t>
        </is>
      </c>
      <c r="G64" s="3" t="inlineStr">
        <is>
          <t>None.</t>
        </is>
      </c>
      <c r="H64" s="3" t="inlineStr">
        <is>
          <t>1. Navigate to /organize.
2. Verify form tabs/steps: Overview (Title, Category, Tags), Pricing (Tiers), Description (Quill Editor), Requirements, Gallery (Images).</t>
        </is>
      </c>
      <c r="I64" s="3" t="inlineStr">
        <is>
          <t>Form studio renders cleanly; active step 1 displayed; 'Save &amp; Continue' button enabled.</t>
        </is>
      </c>
      <c r="J64" s="4" t="inlineStr">
        <is>
          <t>P1</t>
        </is>
      </c>
      <c r="K64" s="4" t="inlineStr">
        <is>
          <t>UI</t>
        </is>
      </c>
      <c r="L64" s="4" t="inlineStr">
        <is>
          <t>Seller</t>
        </is>
      </c>
      <c r="M64" s="4" t="inlineStr">
        <is>
          <t>Desktop</t>
        </is>
      </c>
      <c r="N64" s="4" t="inlineStr">
        <is>
          <t>Not Run</t>
        </is>
      </c>
      <c r="O64" s="3" t="inlineStr"/>
      <c r="P64" s="4" t="inlineStr"/>
      <c r="Q64" s="3" t="inlineStr"/>
      <c r="R64" s="4" t="inlineStr"/>
      <c r="S64" s="3" t="inlineStr">
        <is>
          <t>Package studio layout.</t>
        </is>
      </c>
    </row>
    <row r="65" ht="65" customHeight="1">
      <c r="A65" s="5" t="inlineStr">
        <is>
          <t>PKG-002</t>
        </is>
      </c>
      <c r="B65" s="6" t="inlineStr">
        <is>
          <t>Package Studio</t>
        </is>
      </c>
      <c r="C65" s="6" t="inlineStr">
        <is>
          <t>/organize</t>
        </is>
      </c>
      <c r="D65" s="6" t="inlineStr">
        <is>
          <t>Gig Title Validation</t>
        </is>
      </c>
      <c r="E65" s="6" t="inlineStr">
        <is>
          <t>Validate title character constraints and prefix rules</t>
        </is>
      </c>
      <c r="F65" s="6" t="inlineStr">
        <is>
          <t>On /organize.</t>
        </is>
      </c>
      <c r="G65" s="6" t="inlineStr">
        <is>
          <t>Valid: 'I will design a modern Figma SaaS dashboard with clean components'</t>
        </is>
      </c>
      <c r="H65" s="6" t="inlineStr">
        <is>
          <t>1. Enter valid title starting with 'I will'.
2. Inspect character counter.
3. Test title under 10 chars (invalid).
4. Test title over 80 chars (invalid).</t>
        </is>
      </c>
      <c r="I65" s="6" t="inlineStr">
        <is>
          <t>Character counter updates live (e.g. 68/80); too short or too long values trigger validation warnings; valid title accepted.</t>
        </is>
      </c>
      <c r="J65" s="7" t="inlineStr">
        <is>
          <t>P1</t>
        </is>
      </c>
      <c r="K65" s="7" t="inlineStr">
        <is>
          <t>Boundary</t>
        </is>
      </c>
      <c r="L65" s="7" t="inlineStr">
        <is>
          <t>Seller</t>
        </is>
      </c>
      <c r="M65" s="7" t="inlineStr">
        <is>
          <t>Desktop</t>
        </is>
      </c>
      <c r="N65" s="7" t="inlineStr">
        <is>
          <t>Not Run</t>
        </is>
      </c>
      <c r="O65" s="6" t="inlineStr"/>
      <c r="P65" s="7" t="inlineStr"/>
      <c r="Q65" s="6" t="inlineStr"/>
      <c r="R65" s="7" t="inlineStr"/>
      <c r="S65" s="6" t="inlineStr">
        <is>
          <t>Title field constraints.</t>
        </is>
      </c>
    </row>
    <row r="66" ht="65" customHeight="1">
      <c r="A66" s="2" t="inlineStr">
        <is>
          <t>PKG-003</t>
        </is>
      </c>
      <c r="B66" s="3" t="inlineStr">
        <is>
          <t>Package Studio</t>
        </is>
      </c>
      <c r="C66" s="3" t="inlineStr">
        <is>
          <t>/organize</t>
        </is>
      </c>
      <c r="D66" s="3" t="inlineStr">
        <is>
          <t>Category &amp; Subcategory Hierarchy</t>
        </is>
      </c>
      <c r="E66" s="3" t="inlineStr">
        <is>
          <t>Select category and verify dependent subcategories load</t>
        </is>
      </c>
      <c r="F66" s="3" t="inlineStr">
        <is>
          <t>On /organize.</t>
        </is>
      </c>
      <c r="G66" s="3" t="inlineStr">
        <is>
          <t>Category: 'Programming &amp; Tech', Subcategory: 'Web Development'</t>
        </is>
      </c>
      <c r="H66" s="3" t="inlineStr">
        <is>
          <t>1. In Category dropdown, select 'Programming &amp; Tech'.
2. Open Subcategory dropdown.
3. Select 'Web Development'.</t>
        </is>
      </c>
      <c r="I66" s="3" t="inlineStr">
        <is>
          <t>Subcategory dropdown populates strictly with subcategories of Programming &amp; Tech; selection updates state cleanly.</t>
        </is>
      </c>
      <c r="J66" s="4" t="inlineStr">
        <is>
          <t>P1</t>
        </is>
      </c>
      <c r="K66" s="4" t="inlineStr">
        <is>
          <t>Functional</t>
        </is>
      </c>
      <c r="L66" s="4" t="inlineStr">
        <is>
          <t>Seller</t>
        </is>
      </c>
      <c r="M66" s="4" t="inlineStr">
        <is>
          <t>Desktop</t>
        </is>
      </c>
      <c r="N66" s="4" t="inlineStr">
        <is>
          <t>Not Run</t>
        </is>
      </c>
      <c r="O66" s="3" t="inlineStr"/>
      <c r="P66" s="4" t="inlineStr"/>
      <c r="Q66" s="3" t="inlineStr"/>
      <c r="R66" s="4" t="inlineStr"/>
      <c r="S66" s="3" t="inlineStr">
        <is>
          <t>Hierarchical category selection.</t>
        </is>
      </c>
    </row>
    <row r="67" ht="65" customHeight="1">
      <c r="A67" s="5" t="inlineStr">
        <is>
          <t>PKG-004</t>
        </is>
      </c>
      <c r="B67" s="6" t="inlineStr">
        <is>
          <t>Package Studio</t>
        </is>
      </c>
      <c r="C67" s="6" t="inlineStr">
        <is>
          <t>/organize</t>
        </is>
      </c>
      <c r="D67" s="6" t="inlineStr">
        <is>
          <t>Search Tags Input</t>
        </is>
      </c>
      <c r="E67" s="6" t="inlineStr">
        <is>
          <t>Add up to 5 search tags with chip removal</t>
        </is>
      </c>
      <c r="F67" s="6" t="inlineStr">
        <is>
          <t>On /organize.</t>
        </is>
      </c>
      <c r="G67" s="6" t="inlineStr">
        <is>
          <t>Tags: ['react', 'nextjs', 'typescript', 'tailwind', 'saas']</t>
        </is>
      </c>
      <c r="H67" s="6" t="inlineStr">
        <is>
          <t>1. Type 'react' in tag input and press Enter.
2. Repeat for 'nextjs', 'typescript', 'tailwind', 'saas'.
3. Attempt to add a 6th tag.
4. Click 'x' on 'saas' chip.</t>
        </is>
      </c>
      <c r="I67" s="6" t="inlineStr">
        <is>
          <t>5 tags render as removable chips; 6th tag input is blocked with warning 'Maximum 5 tags allowed'; clicking 'x' removes the chip.</t>
        </is>
      </c>
      <c r="J67" s="7" t="inlineStr">
        <is>
          <t>P2</t>
        </is>
      </c>
      <c r="K67" s="7" t="inlineStr">
        <is>
          <t>Functional</t>
        </is>
      </c>
      <c r="L67" s="7" t="inlineStr">
        <is>
          <t>Seller</t>
        </is>
      </c>
      <c r="M67" s="7" t="inlineStr">
        <is>
          <t>Desktop</t>
        </is>
      </c>
      <c r="N67" s="7" t="inlineStr">
        <is>
          <t>Not Run</t>
        </is>
      </c>
      <c r="O67" s="6" t="inlineStr"/>
      <c r="P67" s="7" t="inlineStr"/>
      <c r="Q67" s="6" t="inlineStr"/>
      <c r="R67" s="7" t="inlineStr"/>
      <c r="S67" s="6" t="inlineStr">
        <is>
          <t>Search tag management.</t>
        </is>
      </c>
    </row>
    <row r="68" ht="65" customHeight="1">
      <c r="A68" s="2" t="inlineStr">
        <is>
          <t>PKG-005</t>
        </is>
      </c>
      <c r="B68" s="3" t="inlineStr">
        <is>
          <t>Package Studio</t>
        </is>
      </c>
      <c r="C68" s="3" t="inlineStr">
        <is>
          <t>/organize</t>
        </is>
      </c>
      <c r="D68" s="3" t="inlineStr">
        <is>
          <t>3-Tier Pricing Table</t>
        </is>
      </c>
      <c r="E68" s="3" t="inlineStr">
        <is>
          <t>Configure 3 pricing tiers: Basic, Standard, and Premium</t>
        </is>
      </c>
      <c r="F68" s="3" t="inlineStr">
        <is>
          <t>On /organize Step 2 (Pricing).</t>
        </is>
      </c>
      <c r="G68" s="3" t="inlineStr">
        <is>
          <t>Basic: $50 (2 days, 1 rev) | Standard: $120 (4 days, 3 rev) | Premium: $250 (7 days, unlimited rev)</t>
        </is>
      </c>
      <c r="H68" s="3" t="inlineStr">
        <is>
          <t>1. Toggle '3 Packages' switch on.
2. Fill tier names and descriptions.
3. Select delivery days and revision counts for all 3 columns.
4. Enter numeric prices for Basic ($50), Standard ($120), Premium ($250).</t>
        </is>
      </c>
      <c r="I68" s="3" t="inlineStr">
        <is>
          <t>All 3 columns accept distinct values; price inputs enforce positive numbers &gt;= $5; pricing matrix updates state.</t>
        </is>
      </c>
      <c r="J68" s="4" t="inlineStr">
        <is>
          <t>P1</t>
        </is>
      </c>
      <c r="K68" s="4" t="inlineStr">
        <is>
          <t>Functional</t>
        </is>
      </c>
      <c r="L68" s="4" t="inlineStr">
        <is>
          <t>Seller</t>
        </is>
      </c>
      <c r="M68" s="4" t="inlineStr">
        <is>
          <t>Desktop</t>
        </is>
      </c>
      <c r="N68" s="4" t="inlineStr">
        <is>
          <t>Not Run</t>
        </is>
      </c>
      <c r="O68" s="3" t="inlineStr"/>
      <c r="P68" s="4" t="inlineStr"/>
      <c r="Q68" s="3" t="inlineStr"/>
      <c r="R68" s="4" t="inlineStr"/>
      <c r="S68" s="3" t="inlineStr">
        <is>
          <t>3-tier pricing table setup.</t>
        </is>
      </c>
    </row>
    <row r="69" ht="65" customHeight="1">
      <c r="A69" s="5" t="inlineStr">
        <is>
          <t>PKG-006</t>
        </is>
      </c>
      <c r="B69" s="6" t="inlineStr">
        <is>
          <t>Package Studio</t>
        </is>
      </c>
      <c r="C69" s="6" t="inlineStr">
        <is>
          <t>/organize</t>
        </is>
      </c>
      <c r="D69" s="6" t="inlineStr">
        <is>
          <t>Quill Description Editor</t>
        </is>
      </c>
      <c r="E69" s="6" t="inlineStr">
        <is>
          <t>Format rich text description using Quill editor</t>
        </is>
      </c>
      <c r="F69" s="6" t="inlineStr">
        <is>
          <t>On /organize Step 3 (Description).</t>
        </is>
      </c>
      <c r="G69" s="6" t="inlineStr">
        <is>
          <t>Formatted text with bold headings, bullet points, and italic text.</t>
        </is>
      </c>
      <c r="H69" s="6" t="inlineStr">
        <is>
          <t>1. In Description section, locate Quill editor toolbar.
2. Type package overview.
3. Apply Bold to headings, create a 3-item bulleted list.
4. Verify character counter.</t>
        </is>
      </c>
      <c r="I69" s="6" t="inlineStr">
        <is>
          <t>Quill applies HTML formatting tags; text renders cleanly without markup leaking; min 120 char constraint verified.</t>
        </is>
      </c>
      <c r="J69" s="7" t="inlineStr">
        <is>
          <t>P1</t>
        </is>
      </c>
      <c r="K69" s="7" t="inlineStr">
        <is>
          <t>Functional</t>
        </is>
      </c>
      <c r="L69" s="7" t="inlineStr">
        <is>
          <t>Seller</t>
        </is>
      </c>
      <c r="M69" s="7" t="inlineStr">
        <is>
          <t>Desktop</t>
        </is>
      </c>
      <c r="N69" s="7" t="inlineStr">
        <is>
          <t>Not Run</t>
        </is>
      </c>
      <c r="O69" s="6" t="inlineStr"/>
      <c r="P69" s="7" t="inlineStr"/>
      <c r="Q69" s="6" t="inlineStr"/>
      <c r="R69" s="7" t="inlineStr"/>
      <c r="S69" s="6" t="inlineStr">
        <is>
          <t>Rich-text description editing.</t>
        </is>
      </c>
    </row>
    <row r="70" ht="65" customHeight="1">
      <c r="A70" s="2" t="inlineStr">
        <is>
          <t>PKG-007</t>
        </is>
      </c>
      <c r="B70" s="3" t="inlineStr">
        <is>
          <t>Package Studio</t>
        </is>
      </c>
      <c r="C70" s="3" t="inlineStr">
        <is>
          <t>/organize</t>
        </is>
      </c>
      <c r="D70" s="3" t="inlineStr">
        <is>
          <t>Cover Image Upload</t>
        </is>
      </c>
      <c r="E70" s="3" t="inlineStr">
        <is>
          <t>Upload valid cover image to package gallery</t>
        </is>
      </c>
      <c r="F70" s="3" t="inlineStr">
        <is>
          <t>Valid PNG image (test-cover.png, 1200x800).</t>
        </is>
      </c>
      <c r="G70" s="3" t="inlineStr">
        <is>
          <t>File: test-cover.png</t>
        </is>
      </c>
      <c r="H70" s="3" t="inlineStr">
        <is>
          <t>1. Navigate to Gallery step.
2. Click or drag-and-drop cover image into primary dropzone.
3. Wait for upload to complete.</t>
        </is>
      </c>
      <c r="I70" s="3" t="inlineStr">
        <is>
          <t>Upload progress bar completes; image preview renders in thumbnail container; Cloudinary/CDN URL saved in form state.</t>
        </is>
      </c>
      <c r="J70" s="4" t="inlineStr">
        <is>
          <t>P1</t>
        </is>
      </c>
      <c r="K70" s="4" t="inlineStr">
        <is>
          <t>Functional</t>
        </is>
      </c>
      <c r="L70" s="4" t="inlineStr">
        <is>
          <t>Seller</t>
        </is>
      </c>
      <c r="M70" s="4" t="inlineStr">
        <is>
          <t>Desktop</t>
        </is>
      </c>
      <c r="N70" s="4" t="inlineStr">
        <is>
          <t>Not Run</t>
        </is>
      </c>
      <c r="O70" s="3" t="inlineStr"/>
      <c r="P70" s="4" t="inlineStr"/>
      <c r="Q70" s="3" t="inlineStr"/>
      <c r="R70" s="4" t="inlineStr"/>
      <c r="S70" s="3" t="inlineStr">
        <is>
          <t>Media gallery upload.</t>
        </is>
      </c>
    </row>
    <row r="71" ht="65" customHeight="1">
      <c r="A71" s="5" t="inlineStr">
        <is>
          <t>PKG-008</t>
        </is>
      </c>
      <c r="B71" s="6" t="inlineStr">
        <is>
          <t>Package Studio</t>
        </is>
      </c>
      <c r="C71" s="6" t="inlineStr">
        <is>
          <t>/organize</t>
        </is>
      </c>
      <c r="D71" s="6" t="inlineStr">
        <is>
          <t>Publish Package Action</t>
        </is>
      </c>
      <c r="E71" s="6" t="inlineStr">
        <is>
          <t>Publish complete service package and verify API payload</t>
        </is>
      </c>
      <c r="F71" s="6" t="inlineStr">
        <is>
          <t>All required package fields filled correctly.</t>
        </is>
      </c>
      <c r="G71" s="6" t="inlineStr">
        <is>
          <t>DATA-GIG-01 payload.</t>
        </is>
      </c>
      <c r="H71" s="6" t="inlineStr">
        <is>
          <t>1. Click 'Save &amp; Publish' button.
2. Inspect network tab for POST /gigs request.
3. Inspect response.</t>
        </is>
      </c>
      <c r="I71" s="6" t="inlineStr">
        <is>
          <t>Payload contains sanitized whitelist properties only (no forbidden _id, starRating, etc.); backend returns HTTP 201; user redirected to /my-packages with success toast.</t>
        </is>
      </c>
      <c r="J71" s="7" t="inlineStr">
        <is>
          <t>P1</t>
        </is>
      </c>
      <c r="K71" s="7" t="inlineStr">
        <is>
          <t>Functional</t>
        </is>
      </c>
      <c r="L71" s="7" t="inlineStr">
        <is>
          <t>Seller</t>
        </is>
      </c>
      <c r="M71" s="7" t="inlineStr">
        <is>
          <t>Desktop</t>
        </is>
      </c>
      <c r="N71" s="7" t="inlineStr">
        <is>
          <t>Not Run</t>
        </is>
      </c>
      <c r="O71" s="6" t="inlineStr"/>
      <c r="P71" s="7" t="inlineStr"/>
      <c r="Q71" s="6" t="inlineStr"/>
      <c r="R71" s="7" t="inlineStr"/>
      <c r="S71" s="6" t="inlineStr">
        <is>
          <t>Package creation &amp; publishing.</t>
        </is>
      </c>
    </row>
    <row r="72" ht="65" customHeight="1">
      <c r="A72" s="2" t="inlineStr">
        <is>
          <t>PKG-009</t>
        </is>
      </c>
      <c r="B72" s="3" t="inlineStr">
        <is>
          <t>Package Studio</t>
        </is>
      </c>
      <c r="C72" s="3" t="inlineStr">
        <is>
          <t>/organize/[id]</t>
        </is>
      </c>
      <c r="D72" s="3" t="inlineStr">
        <is>
          <t>Edit Package Studio</t>
        </is>
      </c>
      <c r="E72" s="3" t="inlineStr">
        <is>
          <t>Load existing package in Edit Studio and update price</t>
        </is>
      </c>
      <c r="F72" s="3" t="inlineStr">
        <is>
          <t>Published package exists (ID: 0af86b74-5211-4a62-a3e4-9aa1e18e225f).</t>
        </is>
      </c>
      <c r="G72" s="3" t="inlineStr">
        <is>
          <t>Updated Basic Price: $75.00</t>
        </is>
      </c>
      <c r="H72" s="3" t="inlineStr">
        <is>
          <t>1. Navigate to /organize/[id].
2. Verify pre-populated fields match existing gig data.
3. Change Basic price from $50 to $75.
4. Click 'Update Package' / 'Save Changes'.</t>
        </is>
      </c>
      <c r="I72" s="3" t="inlineStr">
        <is>
          <t>API dispatches PATCH/PUT /gigs/[id]; response HTTP 200; success toast 'Package updated successfully' displayed.</t>
        </is>
      </c>
      <c r="J72" s="4" t="inlineStr">
        <is>
          <t>P1</t>
        </is>
      </c>
      <c r="K72" s="4" t="inlineStr">
        <is>
          <t>Functional</t>
        </is>
      </c>
      <c r="L72" s="4" t="inlineStr">
        <is>
          <t>Seller</t>
        </is>
      </c>
      <c r="M72" s="4" t="inlineStr">
        <is>
          <t>Desktop</t>
        </is>
      </c>
      <c r="N72" s="4" t="inlineStr">
        <is>
          <t>Not Run</t>
        </is>
      </c>
      <c r="O72" s="3" t="inlineStr"/>
      <c r="P72" s="4" t="inlineStr"/>
      <c r="Q72" s="3" t="inlineStr"/>
      <c r="R72" s="4" t="inlineStr"/>
      <c r="S72" s="3" t="inlineStr">
        <is>
          <t>Package editing.</t>
        </is>
      </c>
    </row>
    <row r="73" ht="65" customHeight="1">
      <c r="A73" s="5" t="inlineStr">
        <is>
          <t>PKG-010</t>
        </is>
      </c>
      <c r="B73" s="6" t="inlineStr">
        <is>
          <t>Package Studio</t>
        </is>
      </c>
      <c r="C73" s="6" t="inlineStr">
        <is>
          <t>/organize/[id]</t>
        </is>
      </c>
      <c r="D73" s="6" t="inlineStr">
        <is>
          <t>Edit Package IDOR Guard</t>
        </is>
      </c>
      <c r="E73" s="6" t="inlineStr">
        <is>
          <t>Attempt to edit another seller's package via URL manipulation</t>
        </is>
      </c>
      <c r="F73" s="6" t="inlineStr">
        <is>
          <t>Seller A logged in; attempts to access /organize/[id_of_seller_b].</t>
        </is>
      </c>
      <c r="G73" s="6" t="inlineStr">
        <is>
          <t>Package ID belonging to Seller B.</t>
        </is>
      </c>
      <c r="H73" s="6" t="inlineStr">
        <is>
          <t>1. As Seller A, navigate to /organize/[id_of_seller_b].
2. Inspect response and UI.</t>
        </is>
      </c>
      <c r="I73" s="6" t="inlineStr">
        <is>
          <t>Access denied; user redirected to /my-packages or /dashboard with error toast 'Unauthorized to edit this package'.</t>
        </is>
      </c>
      <c r="J73" s="7" t="inlineStr">
        <is>
          <t>P1</t>
        </is>
      </c>
      <c r="K73" s="7" t="inlineStr">
        <is>
          <t>Security</t>
        </is>
      </c>
      <c r="L73" s="7" t="inlineStr">
        <is>
          <t>Seller</t>
        </is>
      </c>
      <c r="M73" s="7" t="inlineStr">
        <is>
          <t>Desktop</t>
        </is>
      </c>
      <c r="N73" s="7" t="inlineStr">
        <is>
          <t>Not Run</t>
        </is>
      </c>
      <c r="O73" s="6" t="inlineStr"/>
      <c r="P73" s="7" t="inlineStr"/>
      <c r="Q73" s="6" t="inlineStr"/>
      <c r="R73" s="7" t="inlineStr"/>
      <c r="S73" s="6" t="inlineStr">
        <is>
          <t>IDOR vulnerability prevention.</t>
        </is>
      </c>
    </row>
    <row r="74" ht="65" customHeight="1">
      <c r="A74" s="2" t="inlineStr">
        <is>
          <t>PKG-011</t>
        </is>
      </c>
      <c r="B74" s="3" t="inlineStr">
        <is>
          <t>Package Studio</t>
        </is>
      </c>
      <c r="C74" s="3" t="inlineStr">
        <is>
          <t>/package/[id]</t>
        </is>
      </c>
      <c r="D74" s="3" t="inlineStr">
        <is>
          <t>Update Propagation</t>
        </is>
      </c>
      <c r="E74" s="3" t="inlineStr">
        <is>
          <t>Verify package updates reflect immediately on public view</t>
        </is>
      </c>
      <c r="F74" s="3" t="inlineStr">
        <is>
          <t>Package was updated in PKG-009 with $75 price.</t>
        </is>
      </c>
      <c r="G74" s="3" t="inlineStr">
        <is>
          <t>Package ID from PKG-009.</t>
        </is>
      </c>
      <c r="H74" s="3" t="inlineStr">
        <is>
          <t>1. Navigate to /package/[id].
2. Inspect pricing tier box.</t>
        </is>
      </c>
      <c r="I74" s="3" t="inlineStr">
        <is>
          <t>Basic tier displays new price '$75' immediately; cache invalidated; no stale data or NaN displayed.</t>
        </is>
      </c>
      <c r="J74" s="4" t="inlineStr">
        <is>
          <t>P1</t>
        </is>
      </c>
      <c r="K74" s="4" t="inlineStr">
        <is>
          <t>Integration</t>
        </is>
      </c>
      <c r="L74" s="4" t="inlineStr">
        <is>
          <t>Public / Buyer</t>
        </is>
      </c>
      <c r="M74" s="4" t="inlineStr">
        <is>
          <t>Desktop</t>
        </is>
      </c>
      <c r="N74" s="4" t="inlineStr">
        <is>
          <t>Not Run</t>
        </is>
      </c>
      <c r="O74" s="3" t="inlineStr"/>
      <c r="P74" s="4" t="inlineStr"/>
      <c r="Q74" s="3" t="inlineStr"/>
      <c r="R74" s="4" t="inlineStr"/>
      <c r="S74" s="3" t="inlineStr">
        <is>
          <t>Real-time cache update.</t>
        </is>
      </c>
    </row>
    <row r="75" ht="65" customHeight="1">
      <c r="A75" s="5" t="inlineStr">
        <is>
          <t>PKG-012</t>
        </is>
      </c>
      <c r="B75" s="6" t="inlineStr">
        <is>
          <t>Package Studio</t>
        </is>
      </c>
      <c r="C75" s="6" t="inlineStr">
        <is>
          <t>/package/[id]</t>
        </is>
      </c>
      <c r="D75" s="6" t="inlineStr">
        <is>
          <t>Compare Packages Table</t>
        </is>
      </c>
      <c r="E75" s="6" t="inlineStr">
        <is>
          <t>Verify 3-tier comparison matrix on public package view</t>
        </is>
      </c>
      <c r="F75" s="6" t="inlineStr">
        <is>
          <t>Package with 3 tiers loaded.</t>
        </is>
      </c>
      <c r="G75" s="6" t="inlineStr">
        <is>
          <t>None.</t>
        </is>
      </c>
      <c r="H75" s="6" t="inlineStr">
        <is>
          <t>1. On /package/[id], scroll to 'Compare packages' table.
2. Inspect rows: Tier Title, Delivery Time, Number of Revisions, Included Features, Price.
3. Click 'Select' button on Standard tier.</t>
        </is>
      </c>
      <c r="I75" s="6" t="inlineStr">
        <is>
          <t>Table displays comparative matrix with checkmarks and dashes; clicking Standard selects tier and updates checkout button label.</t>
        </is>
      </c>
      <c r="J75" s="7" t="inlineStr">
        <is>
          <t>P1</t>
        </is>
      </c>
      <c r="K75" s="7" t="inlineStr">
        <is>
          <t>UI</t>
        </is>
      </c>
      <c r="L75" s="7" t="inlineStr">
        <is>
          <t>Public / Buyer</t>
        </is>
      </c>
      <c r="M75" s="7" t="inlineStr">
        <is>
          <t>Desktop</t>
        </is>
      </c>
      <c r="N75" s="7" t="inlineStr">
        <is>
          <t>Not Run</t>
        </is>
      </c>
      <c r="O75" s="6" t="inlineStr"/>
      <c r="P75" s="7" t="inlineStr"/>
      <c r="Q75" s="6" t="inlineStr"/>
      <c r="R75" s="7" t="inlineStr"/>
      <c r="S75" s="6" t="inlineStr">
        <is>
          <t>Tier comparison table.</t>
        </is>
      </c>
    </row>
    <row r="76" ht="65" customHeight="1">
      <c r="A76" s="2" t="inlineStr">
        <is>
          <t>PKG-013</t>
        </is>
      </c>
      <c r="B76" s="3" t="inlineStr">
        <is>
          <t>Package Studio</t>
        </is>
      </c>
      <c r="C76" s="3" t="inlineStr">
        <is>
          <t>/package/[id]</t>
        </is>
      </c>
      <c r="D76" s="3" t="inlineStr">
        <is>
          <t>Media Carousel</t>
        </is>
      </c>
      <c r="E76" s="3" t="inlineStr">
        <is>
          <t>Test image slider navigation on package detail page</t>
        </is>
      </c>
      <c r="F76" s="3" t="inlineStr">
        <is>
          <t>Package with multiple gallery images.</t>
        </is>
      </c>
      <c r="G76" s="3" t="inlineStr">
        <is>
          <t>None.</t>
        </is>
      </c>
      <c r="H76" s="3" t="inlineStr">
        <is>
          <t>1. On /package/[id], locate main image carousel.
2. Click next arrow ('&gt;').
3. Click previous arrow ('&lt;').
4. Click thumbnail image below main slider.</t>
        </is>
      </c>
      <c r="I76" s="3" t="inlineStr">
        <is>
          <t>Slider advances smoothly to next image; active thumbnail highlights; no layout shifts or broken image icons.</t>
        </is>
      </c>
      <c r="J76" s="4" t="inlineStr">
        <is>
          <t>P2</t>
        </is>
      </c>
      <c r="K76" s="4" t="inlineStr">
        <is>
          <t>UI</t>
        </is>
      </c>
      <c r="L76" s="4" t="inlineStr">
        <is>
          <t>Public</t>
        </is>
      </c>
      <c r="M76" s="4" t="inlineStr">
        <is>
          <t>Desktop</t>
        </is>
      </c>
      <c r="N76" s="4" t="inlineStr">
        <is>
          <t>Not Run</t>
        </is>
      </c>
      <c r="O76" s="3" t="inlineStr"/>
      <c r="P76" s="4" t="inlineStr"/>
      <c r="Q76" s="3" t="inlineStr"/>
      <c r="R76" s="4" t="inlineStr"/>
      <c r="S76" s="3" t="inlineStr">
        <is>
          <t>Gallery slider navigation.</t>
        </is>
      </c>
    </row>
    <row r="77" ht="65" customHeight="1">
      <c r="A77" s="5" t="inlineStr">
        <is>
          <t>PKG-014</t>
        </is>
      </c>
      <c r="B77" s="6" t="inlineStr">
        <is>
          <t>Package Studio</t>
        </is>
      </c>
      <c r="C77" s="6" t="inlineStr">
        <is>
          <t>/package/[id]</t>
        </is>
      </c>
      <c r="D77" s="6" t="inlineStr">
        <is>
          <t>FAQs Accordion</t>
        </is>
      </c>
      <c r="E77" s="6" t="inlineStr">
        <is>
          <t>Expand and collapse FAQ items on package view</t>
        </is>
      </c>
      <c r="F77" s="6" t="inlineStr">
        <is>
          <t>Package with at least 2 FAQ items.</t>
        </is>
      </c>
      <c r="G77" s="6" t="inlineStr">
        <is>
          <t>None.</t>
        </is>
      </c>
      <c r="H77" s="6" t="inlineStr">
        <is>
          <t>1. On /package/[id], scroll to 'Frequently Asked Questions'.
2. Click first FAQ question heading.
3. Click second FAQ question heading.</t>
        </is>
      </c>
      <c r="I77" s="6" t="inlineStr">
        <is>
          <t>Accordion expands with smooth animation revealing answer text; clicking again collapses the item.</t>
        </is>
      </c>
      <c r="J77" s="7" t="inlineStr">
        <is>
          <t>P2</t>
        </is>
      </c>
      <c r="K77" s="7" t="inlineStr">
        <is>
          <t>UI</t>
        </is>
      </c>
      <c r="L77" s="7" t="inlineStr">
        <is>
          <t>Public</t>
        </is>
      </c>
      <c r="M77" s="7" t="inlineStr">
        <is>
          <t>Desktop</t>
        </is>
      </c>
      <c r="N77" s="7" t="inlineStr">
        <is>
          <t>Not Run</t>
        </is>
      </c>
      <c r="O77" s="6" t="inlineStr"/>
      <c r="P77" s="7" t="inlineStr"/>
      <c r="Q77" s="6" t="inlineStr"/>
      <c r="R77" s="7" t="inlineStr"/>
      <c r="S77" s="6" t="inlineStr">
        <is>
          <t>FAQ accordion interactivity.</t>
        </is>
      </c>
    </row>
    <row r="78" ht="65" customHeight="1">
      <c r="A78" s="2" t="inlineStr">
        <is>
          <t>PKG-015</t>
        </is>
      </c>
      <c r="B78" s="3" t="inlineStr">
        <is>
          <t>Package Studio</t>
        </is>
      </c>
      <c r="C78" s="3" t="inlineStr">
        <is>
          <t>/package/[id]</t>
        </is>
      </c>
      <c r="D78" s="3" t="inlineStr">
        <is>
          <t>Seller Information Card</t>
        </is>
      </c>
      <c r="E78" s="3" t="inlineStr">
        <is>
          <t>Verify seller profile card on package detail view</t>
        </is>
      </c>
      <c r="F78" s="3" t="inlineStr">
        <is>
          <t>Package detail loaded.</t>
        </is>
      </c>
      <c r="G78" s="3" t="inlineStr">
        <is>
          <t>None.</t>
        </is>
      </c>
      <c r="H78" s="3" t="inlineStr">
        <is>
          <t>1. On /package/[id], inspect seller card on right sidebar/bottom.
2. Verify seller avatar, username, star rating, total reviews, member since, country, and response time.
3. Click 'Contact Seller' button.</t>
        </is>
      </c>
      <c r="I78" s="3" t="inlineStr">
        <is>
          <t>Card renders complete seller details; 'Contact Seller' opens chat modal or navigates to /message/[sellerId].</t>
        </is>
      </c>
      <c r="J78" s="4" t="inlineStr">
        <is>
          <t>P1</t>
        </is>
      </c>
      <c r="K78" s="4" t="inlineStr">
        <is>
          <t>Functional</t>
        </is>
      </c>
      <c r="L78" s="4" t="inlineStr">
        <is>
          <t>Public / Buyer</t>
        </is>
      </c>
      <c r="M78" s="4" t="inlineStr">
        <is>
          <t>Desktop</t>
        </is>
      </c>
      <c r="N78" s="4" t="inlineStr">
        <is>
          <t>Not Run</t>
        </is>
      </c>
      <c r="O78" s="3" t="inlineStr"/>
      <c r="P78" s="4" t="inlineStr"/>
      <c r="Q78" s="3" t="inlineStr"/>
      <c r="R78" s="4" t="inlineStr"/>
      <c r="S78" s="3" t="inlineStr">
        <is>
          <t>Seller card and chat trigger.</t>
        </is>
      </c>
    </row>
    <row r="79" ht="65" customHeight="1">
      <c r="A79" s="5" t="inlineStr">
        <is>
          <t>PKG-016</t>
        </is>
      </c>
      <c r="B79" s="6" t="inlineStr">
        <is>
          <t>Package Studio</t>
        </is>
      </c>
      <c r="C79" s="6" t="inlineStr">
        <is>
          <t>/package/[id]</t>
        </is>
      </c>
      <c r="D79" s="6" t="inlineStr">
        <is>
          <t>Reviews Section</t>
        </is>
      </c>
      <c r="E79" s="6" t="inlineStr">
        <is>
          <t>Inspect buyer reviews and rating breakdown on package page</t>
        </is>
      </c>
      <c r="F79" s="6" t="inlineStr">
        <is>
          <t>Package with existing client reviews.</t>
        </is>
      </c>
      <c r="G79" s="6" t="inlineStr">
        <is>
          <t>None.</t>
        </is>
      </c>
      <c r="H79" s="6" t="inlineStr">
        <is>
          <t>1. Scroll to Reviews section on /package/[id].
2. Verify overall rating (e.g. 5.0), star rating distribution bars (5-star, 4-star, etc.).
3. Verify individual review cards (buyer name, date, comment, star rating).</t>
        </is>
      </c>
      <c r="I79" s="6" t="inlineStr">
        <is>
          <t>Reviews render real data from API; no 'Lorem ipsum' placeholders; star rating bars reflect proportional counts.</t>
        </is>
      </c>
      <c r="J79" s="7" t="inlineStr">
        <is>
          <t>P2</t>
        </is>
      </c>
      <c r="K79" s="7" t="inlineStr">
        <is>
          <t>UI</t>
        </is>
      </c>
      <c r="L79" s="7" t="inlineStr">
        <is>
          <t>Public / Buyer</t>
        </is>
      </c>
      <c r="M79" s="7" t="inlineStr">
        <is>
          <t>Desktop</t>
        </is>
      </c>
      <c r="N79" s="7" t="inlineStr">
        <is>
          <t>Not Run</t>
        </is>
      </c>
      <c r="O79" s="6" t="inlineStr"/>
      <c r="P79" s="7" t="inlineStr"/>
      <c r="Q79" s="6" t="inlineStr"/>
      <c r="R79" s="7" t="inlineStr"/>
      <c r="S79" s="6" t="inlineStr">
        <is>
          <t>Public reviews display.</t>
        </is>
      </c>
    </row>
    <row r="80" ht="65" customHeight="1">
      <c r="A80" s="2" t="inlineStr">
        <is>
          <t>PKG-017</t>
        </is>
      </c>
      <c r="B80" s="3" t="inlineStr">
        <is>
          <t>Package Studio</t>
        </is>
      </c>
      <c r="C80" s="3" t="inlineStr">
        <is>
          <t>/package/[id]</t>
        </is>
      </c>
      <c r="D80" s="3" t="inlineStr">
        <is>
          <t>Checkout Redirection</t>
        </is>
      </c>
      <c r="E80" s="3" t="inlineStr">
        <is>
          <t>Click 'Continue' / 'Order Now' button to initiate checkout</t>
        </is>
      </c>
      <c r="F80" s="3" t="inlineStr">
        <is>
          <t>User logged in as Buyer; on /package/[id].</t>
        </is>
      </c>
      <c r="G80" s="3" t="inlineStr">
        <is>
          <t>Selected tier: 'Standard' ($120)</t>
        </is>
      </c>
      <c r="H80" s="3" t="inlineStr">
        <is>
          <t>1. On /package/[id], select Standard tier.
2. Click 'Continue ($120)' button.</t>
        </is>
      </c>
      <c r="I80" s="3" t="inlineStr">
        <is>
          <t>Application navigates to /pay/[id]?tier=standard; checkout summary pre-populates with standard tier price.</t>
        </is>
      </c>
      <c r="J80" s="4" t="inlineStr">
        <is>
          <t>P1</t>
        </is>
      </c>
      <c r="K80" s="4" t="inlineStr">
        <is>
          <t>Functional</t>
        </is>
      </c>
      <c r="L80" s="4" t="inlineStr">
        <is>
          <t>Buyer</t>
        </is>
      </c>
      <c r="M80" s="4" t="inlineStr">
        <is>
          <t>Desktop</t>
        </is>
      </c>
      <c r="N80" s="4" t="inlineStr">
        <is>
          <t>Not Run</t>
        </is>
      </c>
      <c r="O80" s="3" t="inlineStr"/>
      <c r="P80" s="4" t="inlineStr"/>
      <c r="Q80" s="3" t="inlineStr"/>
      <c r="R80" s="4" t="inlineStr"/>
      <c r="S80" s="3" t="inlineStr">
        <is>
          <t>Checkout initiation.</t>
        </is>
      </c>
    </row>
    <row r="81" ht="65" customHeight="1">
      <c r="A81" s="5" t="inlineStr">
        <is>
          <t>PKG-018</t>
        </is>
      </c>
      <c r="B81" s="6" t="inlineStr">
        <is>
          <t>Package Studio</t>
        </is>
      </c>
      <c r="C81" s="6" t="inlineStr">
        <is>
          <t>/package/[id]</t>
        </is>
      </c>
      <c r="D81" s="6" t="inlineStr">
        <is>
          <t>Own Package Checkout Restriction</t>
        </is>
      </c>
      <c r="E81" s="6" t="inlineStr">
        <is>
          <t>Prevent seller from buying their own package</t>
        </is>
      </c>
      <c r="F81" s="6" t="inlineStr">
        <is>
          <t>Seller logged in; navigates to their own package at /package/[own_id].</t>
        </is>
      </c>
      <c r="G81" s="6" t="inlineStr">
        <is>
          <t>Own package ID.</t>
        </is>
      </c>
      <c r="H81" s="6" t="inlineStr">
        <is>
          <t>1. As seller, open /package/[own_id].
2. Inspect CTA button.</t>
        </is>
      </c>
      <c r="I81" s="6" t="inlineStr">
        <is>
          <t>Checkout button is disabled or displays 'You cannot order your own package' / 'Edit Package' link instead.</t>
        </is>
      </c>
      <c r="J81" s="7" t="inlineStr">
        <is>
          <t>P1</t>
        </is>
      </c>
      <c r="K81" s="7" t="inlineStr">
        <is>
          <t>Security</t>
        </is>
      </c>
      <c r="L81" s="7" t="inlineStr">
        <is>
          <t>Seller</t>
        </is>
      </c>
      <c r="M81" s="7" t="inlineStr">
        <is>
          <t>Desktop</t>
        </is>
      </c>
      <c r="N81" s="7" t="inlineStr">
        <is>
          <t>Not Run</t>
        </is>
      </c>
      <c r="O81" s="6" t="inlineStr"/>
      <c r="P81" s="7" t="inlineStr"/>
      <c r="Q81" s="6" t="inlineStr"/>
      <c r="R81" s="7" t="inlineStr"/>
      <c r="S81" s="6" t="inlineStr">
        <is>
          <t>Self-purchase prevention.</t>
        </is>
      </c>
    </row>
    <row r="82" ht="65" customHeight="1">
      <c r="A82" s="2" t="inlineStr">
        <is>
          <t>PKG-019</t>
        </is>
      </c>
      <c r="B82" s="3" t="inlineStr">
        <is>
          <t>Package Studio</t>
        </is>
      </c>
      <c r="C82" s="3" t="inlineStr">
        <is>
          <t>/package</t>
        </is>
      </c>
      <c r="D82" s="3" t="inlineStr">
        <is>
          <t>Permanent Route Redirect</t>
        </is>
      </c>
      <c r="E82" s="3" t="inlineStr">
        <is>
          <t>Verify Next.js permanent redirect from /package to /packages?category=ai-services</t>
        </is>
      </c>
      <c r="F82" s="3" t="inlineStr">
        <is>
          <t>None.</t>
        </is>
      </c>
      <c r="G82" s="3" t="inlineStr">
        <is>
          <t>URL: /package</t>
        </is>
      </c>
      <c r="H82" s="3" t="inlineStr">
        <is>
          <t>1. Enter /package in browser URL bar.
2. Press Enter.</t>
        </is>
      </c>
      <c r="I82" s="3" t="inlineStr">
        <is>
          <t>Next.js redirects (HTTP 308) immediately to /packages?category=ai-services.</t>
        </is>
      </c>
      <c r="J82" s="4" t="inlineStr">
        <is>
          <t>P2</t>
        </is>
      </c>
      <c r="K82" s="4" t="inlineStr">
        <is>
          <t>Functional</t>
        </is>
      </c>
      <c r="L82" s="4" t="inlineStr">
        <is>
          <t>Public</t>
        </is>
      </c>
      <c r="M82" s="4" t="inlineStr">
        <is>
          <t>Desktop</t>
        </is>
      </c>
      <c r="N82" s="4" t="inlineStr">
        <is>
          <t>Not Run</t>
        </is>
      </c>
      <c r="O82" s="3" t="inlineStr"/>
      <c r="P82" s="4" t="inlineStr"/>
      <c r="Q82" s="3" t="inlineStr"/>
      <c r="R82" s="4" t="inlineStr"/>
      <c r="S82" s="3" t="inlineStr">
        <is>
          <t>Next.js permanent redirect validation.</t>
        </is>
      </c>
    </row>
    <row r="83" ht="65" customHeight="1">
      <c r="A83" s="5" t="inlineStr">
        <is>
          <t>PKG-020</t>
        </is>
      </c>
      <c r="B83" s="6" t="inlineStr">
        <is>
          <t>Package Studio</t>
        </is>
      </c>
      <c r="C83" s="6" t="inlineStr">
        <is>
          <t>/organize</t>
        </is>
      </c>
      <c r="D83" s="6" t="inlineStr">
        <is>
          <t>File Upload Boundary (Size Limit)</t>
        </is>
      </c>
      <c r="E83" s="6" t="inlineStr">
        <is>
          <t>Attempt to upload image exceeding 5MB file size limit</t>
        </is>
      </c>
      <c r="F83" s="6" t="inlineStr">
        <is>
          <t>On /organize gallery step.</t>
        </is>
      </c>
      <c r="G83" s="6" t="inlineStr">
        <is>
          <t>File: large_image_12mb.jpg (12MB file)</t>
        </is>
      </c>
      <c r="H83" s="6" t="inlineStr">
        <is>
          <t>1. Attempt to upload 12MB image in cover image dropzone.</t>
        </is>
      </c>
      <c r="I83" s="6" t="inlineStr">
        <is>
          <t>Upload rejected immediately by client validator; error toast 'File size exceeds maximum limit of 5MB' displayed; upload aborted.</t>
        </is>
      </c>
      <c r="J83" s="7" t="inlineStr">
        <is>
          <t>P2</t>
        </is>
      </c>
      <c r="K83" s="7" t="inlineStr">
        <is>
          <t>Boundary</t>
        </is>
      </c>
      <c r="L83" s="7" t="inlineStr">
        <is>
          <t>Seller</t>
        </is>
      </c>
      <c r="M83" s="7" t="inlineStr">
        <is>
          <t>Desktop</t>
        </is>
      </c>
      <c r="N83" s="7" t="inlineStr">
        <is>
          <t>Not Run</t>
        </is>
      </c>
      <c r="O83" s="6" t="inlineStr"/>
      <c r="P83" s="7" t="inlineStr"/>
      <c r="Q83" s="6" t="inlineStr"/>
      <c r="R83" s="7" t="inlineStr"/>
      <c r="S83" s="6" t="inlineStr">
        <is>
          <t>File upload size constraint.</t>
        </is>
      </c>
    </row>
    <row r="84" ht="65" customHeight="1">
      <c r="A84" s="2" t="inlineStr">
        <is>
          <t>PKG-021</t>
        </is>
      </c>
      <c r="B84" s="3" t="inlineStr">
        <is>
          <t>Package Studio</t>
        </is>
      </c>
      <c r="C84" s="3" t="inlineStr">
        <is>
          <t>/organize</t>
        </is>
      </c>
      <c r="D84" s="3" t="inlineStr">
        <is>
          <t>File Upload Boundary (Invalid MIME Type)</t>
        </is>
      </c>
      <c r="E84" s="3" t="inlineStr">
        <is>
          <t>Attempt to upload unsupported file format (e.g. .exe or .txt)</t>
        </is>
      </c>
      <c r="F84" s="3" t="inlineStr">
        <is>
          <t>On /organize gallery step.</t>
        </is>
      </c>
      <c r="G84" s="3" t="inlineStr">
        <is>
          <t>File: test_script.exe or document.txt</t>
        </is>
      </c>
      <c r="H84" s="3" t="inlineStr">
        <is>
          <t>1. Attempt to upload .exe or .txt file in image uploader.</t>
        </is>
      </c>
      <c r="I84" s="3" t="inlineStr">
        <is>
          <t>Upload rejected; error toast 'Invalid file type. Please upload JPG, PNG, or WEBP' displayed.</t>
        </is>
      </c>
      <c r="J84" s="4" t="inlineStr">
        <is>
          <t>P2</t>
        </is>
      </c>
      <c r="K84" s="4" t="inlineStr">
        <is>
          <t>Boundary</t>
        </is>
      </c>
      <c r="L84" s="4" t="inlineStr">
        <is>
          <t>Seller</t>
        </is>
      </c>
      <c r="M84" s="4" t="inlineStr">
        <is>
          <t>Desktop</t>
        </is>
      </c>
      <c r="N84" s="4" t="inlineStr">
        <is>
          <t>Not Run</t>
        </is>
      </c>
      <c r="O84" s="3" t="inlineStr"/>
      <c r="P84" s="4" t="inlineStr"/>
      <c r="Q84" s="3" t="inlineStr"/>
      <c r="R84" s="4" t="inlineStr"/>
      <c r="S84" s="3" t="inlineStr">
        <is>
          <t>File MIME type validation.</t>
        </is>
      </c>
    </row>
    <row r="85" ht="65" customHeight="1">
      <c r="A85" s="5" t="inlineStr">
        <is>
          <t>PKG-022</t>
        </is>
      </c>
      <c r="B85" s="6" t="inlineStr">
        <is>
          <t>Package Studio</t>
        </is>
      </c>
      <c r="C85" s="6" t="inlineStr">
        <is>
          <t>/organize</t>
        </is>
      </c>
      <c r="D85" s="6" t="inlineStr">
        <is>
          <t>Unsaved Changes Warning</t>
        </is>
      </c>
      <c r="E85" s="6" t="inlineStr">
        <is>
          <t>Trigger warning when attempting to navigate away with unsaved package form edits</t>
        </is>
      </c>
      <c r="F85" s="6" t="inlineStr">
        <is>
          <t>Seller made edits on /organize without clicking Save.</t>
        </is>
      </c>
      <c r="G85" s="6" t="inlineStr">
        <is>
          <t>None.</t>
        </is>
      </c>
      <c r="H85" s="6" t="inlineStr">
        <is>
          <t>1. Fill title and price in /organize.
2. Click browser back button or click logo to navigate away.</t>
        </is>
      </c>
      <c r="I85" s="6" t="inlineStr">
        <is>
          <t>Browser or modal prompt warns 'You have unsaved changes. Are you sure you want to leave?'; choosing Cancel keeps form data intact.</t>
        </is>
      </c>
      <c r="J85" s="7" t="inlineStr">
        <is>
          <t>P3</t>
        </is>
      </c>
      <c r="K85" s="7" t="inlineStr">
        <is>
          <t>UI</t>
        </is>
      </c>
      <c r="L85" s="7" t="inlineStr">
        <is>
          <t>Seller</t>
        </is>
      </c>
      <c r="M85" s="7" t="inlineStr">
        <is>
          <t>Desktop</t>
        </is>
      </c>
      <c r="N85" s="7" t="inlineStr">
        <is>
          <t>Not Run</t>
        </is>
      </c>
      <c r="O85" s="6" t="inlineStr"/>
      <c r="P85" s="7" t="inlineStr"/>
      <c r="Q85" s="6" t="inlineStr"/>
      <c r="R85" s="7" t="inlineStr"/>
      <c r="S85" s="6" t="inlineStr">
        <is>
          <t>Unsaved form state protection.</t>
        </is>
      </c>
    </row>
    <row r="86" ht="65" customHeight="1">
      <c r="A86" s="2" t="inlineStr">
        <is>
          <t>BRF-001</t>
        </is>
      </c>
      <c r="B86" s="3" t="inlineStr">
        <is>
          <t>Briefs &amp; Proposals</t>
        </is>
      </c>
      <c r="C86" s="3" t="inlineStr">
        <is>
          <t>/briefs</t>
        </is>
      </c>
      <c r="D86" s="3" t="inlineStr">
        <is>
          <t>Briefs Catalog Browsing</t>
        </is>
      </c>
      <c r="E86" s="3" t="inlineStr">
        <is>
          <t>Browse public project briefs with category filter</t>
        </is>
      </c>
      <c r="F86" s="3" t="inlineStr">
        <is>
          <t>None.</t>
        </is>
      </c>
      <c r="G86" s="3" t="inlineStr">
        <is>
          <t>Category: 'Programming &amp; Tech'</t>
        </is>
      </c>
      <c r="H86" s="3" t="inlineStr">
        <is>
          <t>1. Navigate to /briefs.
2. Filter by 'Programming &amp; Tech'.
3. Inspect brief cards (Title, Budget, Timeline, Proposals count, Posted date).</t>
        </is>
      </c>
      <c r="I86" s="3" t="inlineStr">
        <is>
          <t>Catalog displays project briefs matching category; each card shows budget (e.g. $500 - $1,000), proposal count, and 'Apply' button.</t>
        </is>
      </c>
      <c r="J86" s="4" t="inlineStr">
        <is>
          <t>P1</t>
        </is>
      </c>
      <c r="K86" s="4" t="inlineStr">
        <is>
          <t>Functional</t>
        </is>
      </c>
      <c r="L86" s="4" t="inlineStr">
        <is>
          <t>Public / Seller</t>
        </is>
      </c>
      <c r="M86" s="4" t="inlineStr">
        <is>
          <t>Desktop</t>
        </is>
      </c>
      <c r="N86" s="4" t="inlineStr">
        <is>
          <t>Not Run</t>
        </is>
      </c>
      <c r="O86" s="3" t="inlineStr"/>
      <c r="P86" s="4" t="inlineStr"/>
      <c r="Q86" s="3" t="inlineStr"/>
      <c r="R86" s="4" t="inlineStr"/>
      <c r="S86" s="3" t="inlineStr">
        <is>
          <t>Public brief catalog browsing.</t>
        </is>
      </c>
    </row>
    <row r="87" ht="65" customHeight="1">
      <c r="A87" s="5" t="inlineStr">
        <is>
          <t>BRF-002</t>
        </is>
      </c>
      <c r="B87" s="6" t="inlineStr">
        <is>
          <t>Briefs &amp; Proposals</t>
        </is>
      </c>
      <c r="C87" s="6" t="inlineStr">
        <is>
          <t>/briefs</t>
        </is>
      </c>
      <c r="D87" s="6" t="inlineStr">
        <is>
          <t>Briefs Budget Filter</t>
        </is>
      </c>
      <c r="E87" s="6" t="inlineStr">
        <is>
          <t>Filter briefs by minimum and maximum budget</t>
        </is>
      </c>
      <c r="F87" s="6" t="inlineStr">
        <is>
          <t>Catalog loaded.</t>
        </is>
      </c>
      <c r="G87" s="6" t="inlineStr">
        <is>
          <t>Budget range: $500 to $2,000</t>
        </is>
      </c>
      <c r="H87" s="6" t="inlineStr">
        <is>
          <t>1. Open Budget filter dropdown on /briefs.
2. Enter Min: 500, Max: 2000.
3. Click Apply.</t>
        </is>
      </c>
      <c r="I87" s="6" t="inlineStr">
        <is>
          <t>Only project briefs with budgets falling within $500 - $2,000 range are displayed.</t>
        </is>
      </c>
      <c r="J87" s="7" t="inlineStr">
        <is>
          <t>P2</t>
        </is>
      </c>
      <c r="K87" s="7" t="inlineStr">
        <is>
          <t>Functional</t>
        </is>
      </c>
      <c r="L87" s="7" t="inlineStr">
        <is>
          <t>Public / Seller</t>
        </is>
      </c>
      <c r="M87" s="7" t="inlineStr">
        <is>
          <t>Desktop</t>
        </is>
      </c>
      <c r="N87" s="7" t="inlineStr">
        <is>
          <t>Not Run</t>
        </is>
      </c>
      <c r="O87" s="6" t="inlineStr"/>
      <c r="P87" s="7" t="inlineStr"/>
      <c r="Q87" s="6" t="inlineStr"/>
      <c r="R87" s="7" t="inlineStr"/>
      <c r="S87" s="6" t="inlineStr">
        <is>
          <t>Budget filtering on briefs.</t>
        </is>
      </c>
    </row>
    <row r="88" ht="65" customHeight="1">
      <c r="A88" s="2" t="inlineStr">
        <is>
          <t>BRF-003</t>
        </is>
      </c>
      <c r="B88" s="3" t="inlineStr">
        <is>
          <t>Briefs &amp; Proposals</t>
        </is>
      </c>
      <c r="C88" s="3" t="inlineStr">
        <is>
          <t>/brief</t>
        </is>
      </c>
      <c r="D88" s="3" t="inlineStr">
        <is>
          <t>Permanent Route Redirect</t>
        </is>
      </c>
      <c r="E88" s="3" t="inlineStr">
        <is>
          <t>Verify Next.js permanent redirect from /brief to /briefs</t>
        </is>
      </c>
      <c r="F88" s="3" t="inlineStr">
        <is>
          <t>None.</t>
        </is>
      </c>
      <c r="G88" s="3" t="inlineStr">
        <is>
          <t>URL: /brief</t>
        </is>
      </c>
      <c r="H88" s="3" t="inlineStr">
        <is>
          <t>1. Enter /brief in browser URL bar.
2. Press Enter.</t>
        </is>
      </c>
      <c r="I88" s="3" t="inlineStr">
        <is>
          <t>Next.js redirects (HTTP 308) immediately to /briefs.</t>
        </is>
      </c>
      <c r="J88" s="4" t="inlineStr">
        <is>
          <t>P2</t>
        </is>
      </c>
      <c r="K88" s="4" t="inlineStr">
        <is>
          <t>Functional</t>
        </is>
      </c>
      <c r="L88" s="4" t="inlineStr">
        <is>
          <t>Public</t>
        </is>
      </c>
      <c r="M88" s="4" t="inlineStr">
        <is>
          <t>Desktop</t>
        </is>
      </c>
      <c r="N88" s="4" t="inlineStr">
        <is>
          <t>Not Run</t>
        </is>
      </c>
      <c r="O88" s="3" t="inlineStr"/>
      <c r="P88" s="4" t="inlineStr"/>
      <c r="Q88" s="3" t="inlineStr"/>
      <c r="R88" s="4" t="inlineStr"/>
      <c r="S88" s="3" t="inlineStr">
        <is>
          <t>Next.js permanent redirect validation.</t>
        </is>
      </c>
    </row>
    <row r="89" ht="65" customHeight="1">
      <c r="A89" s="5" t="inlineStr">
        <is>
          <t>BRF-004</t>
        </is>
      </c>
      <c r="B89" s="6" t="inlineStr">
        <is>
          <t>Briefs &amp; Proposals</t>
        </is>
      </c>
      <c r="C89" s="6" t="inlineStr">
        <is>
          <t>/briefs/create</t>
        </is>
      </c>
      <c r="D89" s="6" t="inlineStr">
        <is>
          <t>Create Project Brief Studio</t>
        </is>
      </c>
      <c r="E89" s="6" t="inlineStr">
        <is>
          <t>Verify Create Project Brief form fields and layout</t>
        </is>
      </c>
      <c r="F89" s="6" t="inlineStr">
        <is>
          <t>User logged in as Buyer.</t>
        </is>
      </c>
      <c r="G89" s="6" t="inlineStr">
        <is>
          <t>None.</t>
        </is>
      </c>
      <c r="H89" s="6" t="inlineStr">
        <is>
          <t>1. Navigate to /briefs/create.
2. Inspect form: Title, Description, Category, Delivery Deadline, Budget, Attachment Upload, 'Post Brief' button.</t>
        </is>
      </c>
      <c r="I89" s="6" t="inlineStr">
        <is>
          <t>Form renders with all fields and 'Create with AI' button prominent at the top.</t>
        </is>
      </c>
      <c r="J89" s="7" t="inlineStr">
        <is>
          <t>P1</t>
        </is>
      </c>
      <c r="K89" s="7" t="inlineStr">
        <is>
          <t>UI</t>
        </is>
      </c>
      <c r="L89" s="7" t="inlineStr">
        <is>
          <t>Buyer</t>
        </is>
      </c>
      <c r="M89" s="7" t="inlineStr">
        <is>
          <t>Desktop</t>
        </is>
      </c>
      <c r="N89" s="7" t="inlineStr">
        <is>
          <t>Not Run</t>
        </is>
      </c>
      <c r="O89" s="6" t="inlineStr"/>
      <c r="P89" s="7" t="inlineStr"/>
      <c r="Q89" s="6" t="inlineStr"/>
      <c r="R89" s="7" t="inlineStr"/>
      <c r="S89" s="6" t="inlineStr">
        <is>
          <t>Brief creation form layout.</t>
        </is>
      </c>
    </row>
    <row r="90" ht="65" customHeight="1">
      <c r="A90" s="2" t="inlineStr">
        <is>
          <t>BRF-005</t>
        </is>
      </c>
      <c r="B90" s="3" t="inlineStr">
        <is>
          <t>Briefs &amp; Proposals</t>
        </is>
      </c>
      <c r="C90" s="3" t="inlineStr">
        <is>
          <t>/briefs/create</t>
        </is>
      </c>
      <c r="D90" s="3" t="inlineStr">
        <is>
          <t>AI Brief Generator Assistant</t>
        </is>
      </c>
      <c r="E90" s="3" t="inlineStr">
        <is>
          <t>Use 'Create with AI' button to automatically generate brief title and details</t>
        </is>
      </c>
      <c r="F90" s="3" t="inlineStr">
        <is>
          <t>Buyer on /briefs/create.</t>
        </is>
      </c>
      <c r="G90" s="3" t="inlineStr">
        <is>
          <t>Prompt: 'Mobile eCommerce app in Flutter with Stripe payments'</t>
        </is>
      </c>
      <c r="H90" s="3" t="inlineStr">
        <is>
          <t>1. Click 'Create with AI' button.
2. In the AI prompt modal/input, type 'Mobile eCommerce app in Flutter with Stripe payments'.
3. Click 'Generate Brief'.</t>
        </is>
      </c>
      <c r="I90" s="3" t="inlineStr">
        <is>
          <t>API calls POST /briefs/ai-generate (HTTP 200); generated title, comprehensive description, category, and suggested budget populate form fields automatically.</t>
        </is>
      </c>
      <c r="J90" s="4" t="inlineStr">
        <is>
          <t>P1</t>
        </is>
      </c>
      <c r="K90" s="4" t="inlineStr">
        <is>
          <t>Functional</t>
        </is>
      </c>
      <c r="L90" s="4" t="inlineStr">
        <is>
          <t>Buyer</t>
        </is>
      </c>
      <c r="M90" s="4" t="inlineStr">
        <is>
          <t>Desktop</t>
        </is>
      </c>
      <c r="N90" s="4" t="inlineStr">
        <is>
          <t>Not Run</t>
        </is>
      </c>
      <c r="O90" s="3" t="inlineStr"/>
      <c r="P90" s="4" t="inlineStr"/>
      <c r="Q90" s="3" t="inlineStr"/>
      <c r="R90" s="4" t="inlineStr"/>
      <c r="S90" s="3" t="inlineStr">
        <is>
          <t>AI assistant integration.</t>
        </is>
      </c>
    </row>
    <row r="91" ht="65" customHeight="1">
      <c r="A91" s="5" t="inlineStr">
        <is>
          <t>BRF-006</t>
        </is>
      </c>
      <c r="B91" s="6" t="inlineStr">
        <is>
          <t>Briefs &amp; Proposals</t>
        </is>
      </c>
      <c r="C91" s="6" t="inlineStr">
        <is>
          <t>/briefs/create</t>
        </is>
      </c>
      <c r="D91" s="6" t="inlineStr">
        <is>
          <t>Manual Brief Submission</t>
        </is>
      </c>
      <c r="E91" s="6" t="inlineStr">
        <is>
          <t>Submit custom project brief manually with valid details</t>
        </is>
      </c>
      <c r="F91" s="6" t="inlineStr">
        <is>
          <t>Buyer on /briefs/create.</t>
        </is>
      </c>
      <c r="G91" s="6" t="inlineStr">
        <is>
          <t>DATA-BRIEF-01 payload (Fintech Dashboard, $1500 budget, 14 days).</t>
        </is>
      </c>
      <c r="H91" s="6" t="inlineStr">
        <is>
          <t>1. Enter title, description, category, and budget.
2. Select delivery timeline.
3. Click 'Post Brief' / 'Submit'.</t>
        </is>
      </c>
      <c r="I91" s="6" t="inlineStr">
        <is>
          <t>POST /briefs succeeds (HTTP 201); brief created; success toast 'Project brief published successfully' displays; user redirected to /briefs/my-briefs.</t>
        </is>
      </c>
      <c r="J91" s="7" t="inlineStr">
        <is>
          <t>P1</t>
        </is>
      </c>
      <c r="K91" s="7" t="inlineStr">
        <is>
          <t>Functional</t>
        </is>
      </c>
      <c r="L91" s="7" t="inlineStr">
        <is>
          <t>Buyer</t>
        </is>
      </c>
      <c r="M91" s="7" t="inlineStr">
        <is>
          <t>Desktop</t>
        </is>
      </c>
      <c r="N91" s="7" t="inlineStr">
        <is>
          <t>Not Run</t>
        </is>
      </c>
      <c r="O91" s="6" t="inlineStr"/>
      <c r="P91" s="7" t="inlineStr"/>
      <c r="Q91" s="6" t="inlineStr"/>
      <c r="R91" s="7" t="inlineStr"/>
      <c r="S91" s="6" t="inlineStr">
        <is>
          <t>Project brief creation.</t>
        </is>
      </c>
    </row>
    <row r="92" ht="65" customHeight="1">
      <c r="A92" s="2" t="inlineStr">
        <is>
          <t>BRF-007</t>
        </is>
      </c>
      <c r="B92" s="3" t="inlineStr">
        <is>
          <t>Briefs &amp; Proposals</t>
        </is>
      </c>
      <c r="C92" s="3" t="inlineStr">
        <is>
          <t>/briefs/create</t>
        </is>
      </c>
      <c r="D92" s="3" t="inlineStr">
        <is>
          <t>Brief Form Validation</t>
        </is>
      </c>
      <c r="E92" s="3" t="inlineStr">
        <is>
          <t>Attempt brief submission with missing title and empty budget</t>
        </is>
      </c>
      <c r="F92" s="3" t="inlineStr">
        <is>
          <t>Buyer on /briefs/create.</t>
        </is>
      </c>
      <c r="G92" s="3" t="inlineStr">
        <is>
          <t>Title: '', Budget: ''</t>
        </is>
      </c>
      <c r="H92" s="3" t="inlineStr">
        <is>
          <t>1. Leave title and budget blank.
2. Click 'Post Brief'.</t>
        </is>
      </c>
      <c r="I92" s="3" t="inlineStr">
        <is>
          <t>Submission blocked; validation errors highlight missing title ('Title is required') and missing budget ('Budget must be greater than $5'); no network call.</t>
        </is>
      </c>
      <c r="J92" s="4" t="inlineStr">
        <is>
          <t>P2</t>
        </is>
      </c>
      <c r="K92" s="4" t="inlineStr">
        <is>
          <t>Negative</t>
        </is>
      </c>
      <c r="L92" s="4" t="inlineStr">
        <is>
          <t>Buyer</t>
        </is>
      </c>
      <c r="M92" s="4" t="inlineStr">
        <is>
          <t>Desktop</t>
        </is>
      </c>
      <c r="N92" s="4" t="inlineStr">
        <is>
          <t>Not Run</t>
        </is>
      </c>
      <c r="O92" s="3" t="inlineStr"/>
      <c r="P92" s="4" t="inlineStr"/>
      <c r="Q92" s="3" t="inlineStr"/>
      <c r="R92" s="4" t="inlineStr"/>
      <c r="S92" s="3" t="inlineStr">
        <is>
          <t>Form validation on briefs.</t>
        </is>
      </c>
    </row>
    <row r="93" ht="65" customHeight="1">
      <c r="A93" s="5" t="inlineStr">
        <is>
          <t>BRF-008</t>
        </is>
      </c>
      <c r="B93" s="6" t="inlineStr">
        <is>
          <t>Briefs &amp; Proposals</t>
        </is>
      </c>
      <c r="C93" s="6" t="inlineStr">
        <is>
          <t>/briefs/create</t>
        </is>
      </c>
      <c r="D93" s="6" t="inlineStr">
        <is>
          <t>Guest Access Restriction</t>
        </is>
      </c>
      <c r="E93" s="6" t="inlineStr">
        <is>
          <t>Attempt to access /briefs/create as unauthenticated Guest</t>
        </is>
      </c>
      <c r="F93" s="6" t="inlineStr">
        <is>
          <t>User logged out.</t>
        </is>
      </c>
      <c r="G93" s="6" t="inlineStr">
        <is>
          <t>None.</t>
        </is>
      </c>
      <c r="H93" s="6" t="inlineStr">
        <is>
          <t>1. Navigate to /briefs/create as Guest.</t>
        </is>
      </c>
      <c r="I93" s="6" t="inlineStr">
        <is>
          <t>Proxy intercepts request; redirects user to /login?redirect=/briefs/create; no protected form rendered.</t>
        </is>
      </c>
      <c r="J93" s="7" t="inlineStr">
        <is>
          <t>P1</t>
        </is>
      </c>
      <c r="K93" s="7" t="inlineStr">
        <is>
          <t>Security</t>
        </is>
      </c>
      <c r="L93" s="7" t="inlineStr">
        <is>
          <t>Guest</t>
        </is>
      </c>
      <c r="M93" s="7" t="inlineStr">
        <is>
          <t>Desktop</t>
        </is>
      </c>
      <c r="N93" s="7" t="inlineStr">
        <is>
          <t>Not Run</t>
        </is>
      </c>
      <c r="O93" s="6" t="inlineStr"/>
      <c r="P93" s="7" t="inlineStr"/>
      <c r="Q93" s="6" t="inlineStr"/>
      <c r="R93" s="7" t="inlineStr"/>
      <c r="S93" s="6" t="inlineStr">
        <is>
          <t>Guest route protection.</t>
        </is>
      </c>
    </row>
    <row r="94" ht="65" customHeight="1">
      <c r="A94" s="2" t="inlineStr">
        <is>
          <t>BRF-009</t>
        </is>
      </c>
      <c r="B94" s="3" t="inlineStr">
        <is>
          <t>Briefs &amp; Proposals</t>
        </is>
      </c>
      <c r="C94" s="3" t="inlineStr">
        <is>
          <t>/briefs/[id]</t>
        </is>
      </c>
      <c r="D94" s="3" t="inlineStr">
        <is>
          <t>Brief Detail View</t>
        </is>
      </c>
      <c r="E94" s="3" t="inlineStr">
        <is>
          <t>Inspect project brief details page</t>
        </is>
      </c>
      <c r="F94" s="3" t="inlineStr">
        <is>
          <t>Published brief exists.</t>
        </is>
      </c>
      <c r="G94" s="3" t="inlineStr">
        <is>
          <t>Brief ID: 'created_brief_id'</t>
        </is>
      </c>
      <c r="H94" s="3" t="inlineStr">
        <is>
          <t>1. Navigate to /briefs/[id].
2. Inspect brief title, full description, category badge, budget, timeline, client member stats, required skills.</t>
        </is>
      </c>
      <c r="I94" s="3" t="inlineStr">
        <is>
          <t>All brief details render clearly; verified budget badge shown; 'Send Proposal' button visible for sellers.</t>
        </is>
      </c>
      <c r="J94" s="4" t="inlineStr">
        <is>
          <t>P1</t>
        </is>
      </c>
      <c r="K94" s="4" t="inlineStr">
        <is>
          <t>UI</t>
        </is>
      </c>
      <c r="L94" s="4" t="inlineStr">
        <is>
          <t>Public / Seller</t>
        </is>
      </c>
      <c r="M94" s="4" t="inlineStr">
        <is>
          <t>Desktop</t>
        </is>
      </c>
      <c r="N94" s="4" t="inlineStr">
        <is>
          <t>Not Run</t>
        </is>
      </c>
      <c r="O94" s="3" t="inlineStr"/>
      <c r="P94" s="4" t="inlineStr"/>
      <c r="Q94" s="3" t="inlineStr"/>
      <c r="R94" s="4" t="inlineStr"/>
      <c r="S94" s="3" t="inlineStr">
        <is>
          <t>Brief detail presentation.</t>
        </is>
      </c>
    </row>
    <row r="95" ht="65" customHeight="1">
      <c r="A95" s="5" t="inlineStr">
        <is>
          <t>BRF-010</t>
        </is>
      </c>
      <c r="B95" s="6" t="inlineStr">
        <is>
          <t>Briefs &amp; Proposals</t>
        </is>
      </c>
      <c r="C95" s="6" t="inlineStr">
        <is>
          <t>/briefs/[id]</t>
        </is>
      </c>
      <c r="D95" s="6" t="inlineStr">
        <is>
          <t>Send Proposal Modal Trigger</t>
        </is>
      </c>
      <c r="E95" s="6" t="inlineStr">
        <is>
          <t>Click 'Send Proposal' button as authenticated Seller</t>
        </is>
      </c>
      <c r="F95" s="6" t="inlineStr">
        <is>
          <t>Seller logged in; viewing /briefs/[id].</t>
        </is>
      </c>
      <c r="G95" s="6" t="inlineStr">
        <is>
          <t>None.</t>
        </is>
      </c>
      <c r="H95" s="6" t="inlineStr">
        <is>
          <t>1. On /briefs/[id], click 'Send Proposal' / 'Apply' button.</t>
        </is>
      </c>
      <c r="I95" s="6" t="inlineStr">
        <is>
          <t>Proposal modal opens; displays brief summary, cover letter textarea, proposed bid price input, delivery days input, and submit CTA.</t>
        </is>
      </c>
      <c r="J95" s="7" t="inlineStr">
        <is>
          <t>P1</t>
        </is>
      </c>
      <c r="K95" s="7" t="inlineStr">
        <is>
          <t>Functional</t>
        </is>
      </c>
      <c r="L95" s="7" t="inlineStr">
        <is>
          <t>Seller</t>
        </is>
      </c>
      <c r="M95" s="7" t="inlineStr">
        <is>
          <t>Desktop</t>
        </is>
      </c>
      <c r="N95" s="7" t="inlineStr">
        <is>
          <t>Not Run</t>
        </is>
      </c>
      <c r="O95" s="6" t="inlineStr"/>
      <c r="P95" s="7" t="inlineStr"/>
      <c r="Q95" s="6" t="inlineStr"/>
      <c r="R95" s="7" t="inlineStr"/>
      <c r="S95" s="6" t="inlineStr">
        <is>
          <t>Proposal modal trigger.</t>
        </is>
      </c>
    </row>
    <row r="96" ht="65" customHeight="1">
      <c r="A96" s="2" t="inlineStr">
        <is>
          <t>BRF-011</t>
        </is>
      </c>
      <c r="B96" s="3" t="inlineStr">
        <is>
          <t>Briefs &amp; Proposals</t>
        </is>
      </c>
      <c r="C96" s="3" t="inlineStr">
        <is>
          <t>/briefs/[id]</t>
        </is>
      </c>
      <c r="D96" s="3" t="inlineStr">
        <is>
          <t>Submit Proposal Execution</t>
        </is>
      </c>
      <c r="E96" s="3" t="inlineStr">
        <is>
          <t>Submit proposal with valid cover letter, bid price, and delivery time</t>
        </is>
      </c>
      <c r="F96" s="3" t="inlineStr">
        <is>
          <t>Seller in proposal modal on /briefs/[id].</t>
        </is>
      </c>
      <c r="G96" s="3" t="inlineStr">
        <is>
          <t>Cover Letter: '7+ years experience in Next.js...', Bid: $1350, Delivery: 10 days</t>
        </is>
      </c>
      <c r="H96" s="3" t="inlineStr">
        <is>
          <t>1. Fill cover letter.
2. Enter bid price $1350.
3. Enter 10 delivery days.
4. Click 'Submit Proposal'.</t>
        </is>
      </c>
      <c r="I96" s="3" t="inlineStr">
        <is>
          <t>API POST /briefs/:id/proposals returns HTTP 201; success toast 'Proposal submitted successfully' appears; modal closes; proposal counter increments on brief.</t>
        </is>
      </c>
      <c r="J96" s="4" t="inlineStr">
        <is>
          <t>P1</t>
        </is>
      </c>
      <c r="K96" s="4" t="inlineStr">
        <is>
          <t>Functional</t>
        </is>
      </c>
      <c r="L96" s="4" t="inlineStr">
        <is>
          <t>Seller</t>
        </is>
      </c>
      <c r="M96" s="4" t="inlineStr">
        <is>
          <t>Desktop</t>
        </is>
      </c>
      <c r="N96" s="4" t="inlineStr">
        <is>
          <t>Not Run</t>
        </is>
      </c>
      <c r="O96" s="3" t="inlineStr"/>
      <c r="P96" s="4" t="inlineStr"/>
      <c r="Q96" s="3" t="inlineStr"/>
      <c r="R96" s="4" t="inlineStr"/>
      <c r="S96" s="3" t="inlineStr">
        <is>
          <t>Seller proposal submission.</t>
        </is>
      </c>
    </row>
    <row r="97" ht="65" customHeight="1">
      <c r="A97" s="5" t="inlineStr">
        <is>
          <t>BRF-012</t>
        </is>
      </c>
      <c r="B97" s="6" t="inlineStr">
        <is>
          <t>Briefs &amp; Proposals</t>
        </is>
      </c>
      <c r="C97" s="6" t="inlineStr">
        <is>
          <t>/briefs/[id]/proposals</t>
        </is>
      </c>
      <c r="D97" s="6" t="inlineStr">
        <is>
          <t>Buyer Proposal Audit Screen</t>
        </is>
      </c>
      <c r="E97" s="6" t="inlineStr">
        <is>
          <t>Buyer views received proposals for their posted brief</t>
        </is>
      </c>
      <c r="F97" s="6" t="inlineStr">
        <is>
          <t>Buyer logged in; has received at least one proposal on their brief.</t>
        </is>
      </c>
      <c r="G97" s="6" t="inlineStr">
        <is>
          <t>None.</t>
        </is>
      </c>
      <c r="H97" s="6" t="inlineStr">
        <is>
          <t>1. Navigate to /briefs/[id]/proposals (or click 'View Proposals' on brief).
2. Inspect proposal cards table.</t>
        </is>
      </c>
      <c r="I97" s="6" t="inlineStr">
        <is>
          <t>All received proposals listed; displays seller avatar, username, star rating, bid price, delivery days, cover letter snippet, and AI match score.</t>
        </is>
      </c>
      <c r="J97" s="7" t="inlineStr">
        <is>
          <t>P1</t>
        </is>
      </c>
      <c r="K97" s="7" t="inlineStr">
        <is>
          <t>Functional</t>
        </is>
      </c>
      <c r="L97" s="7" t="inlineStr">
        <is>
          <t>Buyer</t>
        </is>
      </c>
      <c r="M97" s="7" t="inlineStr">
        <is>
          <t>Desktop</t>
        </is>
      </c>
      <c r="N97" s="7" t="inlineStr">
        <is>
          <t>Not Run</t>
        </is>
      </c>
      <c r="O97" s="6" t="inlineStr"/>
      <c r="P97" s="7" t="inlineStr"/>
      <c r="Q97" s="6" t="inlineStr"/>
      <c r="R97" s="7" t="inlineStr"/>
      <c r="S97" s="6" t="inlineStr">
        <is>
          <t>Buyer proposal management.</t>
        </is>
      </c>
    </row>
    <row r="98" ht="65" customHeight="1">
      <c r="A98" s="2" t="inlineStr">
        <is>
          <t>BRF-013</t>
        </is>
      </c>
      <c r="B98" s="3" t="inlineStr">
        <is>
          <t>Briefs &amp; Proposals</t>
        </is>
      </c>
      <c r="C98" s="3" t="inlineStr">
        <is>
          <t>/briefs/[id]/proposals</t>
        </is>
      </c>
      <c r="D98" s="3" t="inlineStr">
        <is>
          <t>AI Match Score Verification</t>
        </is>
      </c>
      <c r="E98" s="3" t="inlineStr">
        <is>
          <t>Verify AI match percentage and recommendation badges on proposals</t>
        </is>
      </c>
      <c r="F98" s="3" t="inlineStr">
        <is>
          <t>Buyer viewing proposals on /briefs/[id]/proposals.</t>
        </is>
      </c>
      <c r="G98" s="3" t="inlineStr">
        <is>
          <t>None.</t>
        </is>
      </c>
      <c r="H98" s="3" t="inlineStr">
        <is>
          <t>1. Inspect proposal cards for AI Match badge (e.g. '95% Match', 'Top Pick').
2. Click 'View Match Analysis'.</t>
        </is>
      </c>
      <c r="I98" s="3" t="inlineStr">
        <is>
          <t>Match score badge displays correctly; analysis breakdown highlights skills overlap and seller experience match.</t>
        </is>
      </c>
      <c r="J98" s="4" t="inlineStr">
        <is>
          <t>P2</t>
        </is>
      </c>
      <c r="K98" s="4" t="inlineStr">
        <is>
          <t>Functional</t>
        </is>
      </c>
      <c r="L98" s="4" t="inlineStr">
        <is>
          <t>Buyer</t>
        </is>
      </c>
      <c r="M98" s="4" t="inlineStr">
        <is>
          <t>Desktop</t>
        </is>
      </c>
      <c r="N98" s="4" t="inlineStr">
        <is>
          <t>Not Run</t>
        </is>
      </c>
      <c r="O98" s="3" t="inlineStr"/>
      <c r="P98" s="4" t="inlineStr"/>
      <c r="Q98" s="3" t="inlineStr"/>
      <c r="R98" s="4" t="inlineStr"/>
      <c r="S98" s="3" t="inlineStr">
        <is>
          <t>AI proposal scoring.</t>
        </is>
      </c>
    </row>
    <row r="99" ht="65" customHeight="1">
      <c r="A99" s="5" t="inlineStr">
        <is>
          <t>BRF-014</t>
        </is>
      </c>
      <c r="B99" s="6" t="inlineStr">
        <is>
          <t>Briefs &amp; Proposals</t>
        </is>
      </c>
      <c r="C99" s="6" t="inlineStr">
        <is>
          <t>/briefs/[id]/proposals</t>
        </is>
      </c>
      <c r="D99" s="6" t="inlineStr">
        <is>
          <t>Hire Seller / Accept Proposal</t>
        </is>
      </c>
      <c r="E99" s="6" t="inlineStr">
        <is>
          <t>Buyer accepts seller proposal to initiate project contract</t>
        </is>
      </c>
      <c r="F99" s="6" t="inlineStr">
        <is>
          <t>Buyer reviewing proposal on /briefs/[id]/proposals.</t>
        </is>
      </c>
      <c r="G99" s="6" t="inlineStr">
        <is>
          <t>Selected proposal.</t>
        </is>
      </c>
      <c r="H99" s="6" t="inlineStr">
        <is>
          <t>1. Click 'Hire Freelancer' / 'Accept Proposal' on seller proposal card.
2. Confirm action modal.</t>
        </is>
      </c>
      <c r="I99" s="6" t="inlineStr">
        <is>
          <t>API creates active order from proposal (POST /orders/from-proposal); buyer redirected to /pay/[orderId] for escrow checkout.</t>
        </is>
      </c>
      <c r="J99" s="7" t="inlineStr">
        <is>
          <t>P1</t>
        </is>
      </c>
      <c r="K99" s="7" t="inlineStr">
        <is>
          <t>Functional</t>
        </is>
      </c>
      <c r="L99" s="7" t="inlineStr">
        <is>
          <t>Buyer</t>
        </is>
      </c>
      <c r="M99" s="7" t="inlineStr">
        <is>
          <t>Desktop</t>
        </is>
      </c>
      <c r="N99" s="7" t="inlineStr">
        <is>
          <t>Not Run</t>
        </is>
      </c>
      <c r="O99" s="6" t="inlineStr"/>
      <c r="P99" s="7" t="inlineStr"/>
      <c r="Q99" s="6" t="inlineStr"/>
      <c r="R99" s="7" t="inlineStr"/>
      <c r="S99" s="6" t="inlineStr">
        <is>
          <t>Proposal acceptance &amp; order initiation.</t>
        </is>
      </c>
    </row>
    <row r="100" ht="65" customHeight="1">
      <c r="A100" s="2" t="inlineStr">
        <is>
          <t>BRF-015</t>
        </is>
      </c>
      <c r="B100" s="3" t="inlineStr">
        <is>
          <t>Briefs &amp; Proposals</t>
        </is>
      </c>
      <c r="C100" s="3" t="inlineStr">
        <is>
          <t>/briefs/[id]/proposals</t>
        </is>
      </c>
      <c r="D100" s="3" t="inlineStr">
        <is>
          <t>Unauthorized Proposals Access</t>
        </is>
      </c>
      <c r="E100" s="3" t="inlineStr">
        <is>
          <t>Prevent non-owner buyer or another seller from viewing proposals on /briefs/[id]/proposals</t>
        </is>
      </c>
      <c r="F100" s="3" t="inlineStr">
        <is>
          <t>User logged in as non-owner Buyer or Seller B.</t>
        </is>
      </c>
      <c r="G100" s="3" t="inlineStr">
        <is>
          <t>Brief ID authored by Buyer A.</t>
        </is>
      </c>
      <c r="H100" s="3" t="inlineStr">
        <is>
          <t>1. Navigate to /briefs/[id_of_buyer_a]/proposals.</t>
        </is>
      </c>
      <c r="I100" s="3" t="inlineStr">
        <is>
          <t>Access denied by proxy / page guard; user redirected to /briefs/[id] or /dashboard with 'Unauthorized' error toast.</t>
        </is>
      </c>
      <c r="J100" s="4" t="inlineStr">
        <is>
          <t>P1</t>
        </is>
      </c>
      <c r="K100" s="4" t="inlineStr">
        <is>
          <t>Security</t>
        </is>
      </c>
      <c r="L100" s="4" t="inlineStr">
        <is>
          <t>Buyer / Seller</t>
        </is>
      </c>
      <c r="M100" s="4" t="inlineStr">
        <is>
          <t>Desktop</t>
        </is>
      </c>
      <c r="N100" s="4" t="inlineStr">
        <is>
          <t>Not Run</t>
        </is>
      </c>
      <c r="O100" s="3" t="inlineStr"/>
      <c r="P100" s="4" t="inlineStr"/>
      <c r="Q100" s="3" t="inlineStr"/>
      <c r="R100" s="4" t="inlineStr"/>
      <c r="S100" s="3" t="inlineStr">
        <is>
          <t>Proposal privacy &amp; access control.</t>
        </is>
      </c>
    </row>
    <row r="101" ht="65" customHeight="1">
      <c r="A101" s="5" t="inlineStr">
        <is>
          <t>BRF-016</t>
        </is>
      </c>
      <c r="B101" s="6" t="inlineStr">
        <is>
          <t>Briefs &amp; Proposals</t>
        </is>
      </c>
      <c r="C101" s="6" t="inlineStr">
        <is>
          <t>/briefs/my-briefs</t>
        </is>
      </c>
      <c r="D101" s="6" t="inlineStr">
        <is>
          <t>Buyer My Briefs Dashboard</t>
        </is>
      </c>
      <c r="E101" s="6" t="inlineStr">
        <is>
          <t>Manage posted briefs on /briefs/my-briefs</t>
        </is>
      </c>
      <c r="F101" s="6" t="inlineStr">
        <is>
          <t>Buyer logged in with at least one active brief.</t>
        </is>
      </c>
      <c r="G101" s="6" t="inlineStr">
        <is>
          <t>None.</t>
        </is>
      </c>
      <c r="H101" s="6" t="inlineStr">
        <is>
          <t>1. Navigate to /briefs/my-briefs.
2. Inspect status filter tabs: 'All', 'Open', 'In Progress', 'Closed'.
3. Verify card elements (Title, Budget, Proposals Count, Action menu).</t>
        </is>
      </c>
      <c r="I101" s="6" t="inlineStr">
        <is>
          <t>List of buyer's briefs rendered; status pills match database state; proposals count reflects real bids received.</t>
        </is>
      </c>
      <c r="J101" s="7" t="inlineStr">
        <is>
          <t>P1</t>
        </is>
      </c>
      <c r="K101" s="7" t="inlineStr">
        <is>
          <t>Functional</t>
        </is>
      </c>
      <c r="L101" s="7" t="inlineStr">
        <is>
          <t>Buyer</t>
        </is>
      </c>
      <c r="M101" s="7" t="inlineStr">
        <is>
          <t>Desktop</t>
        </is>
      </c>
      <c r="N101" s="7" t="inlineStr">
        <is>
          <t>Not Run</t>
        </is>
      </c>
      <c r="O101" s="6" t="inlineStr"/>
      <c r="P101" s="7" t="inlineStr"/>
      <c r="Q101" s="6" t="inlineStr"/>
      <c r="R101" s="7" t="inlineStr"/>
      <c r="S101" s="6" t="inlineStr">
        <is>
          <t>Buyer briefs listing.</t>
        </is>
      </c>
    </row>
    <row r="102" ht="65" customHeight="1">
      <c r="A102" s="2" t="inlineStr">
        <is>
          <t>BRF-017</t>
        </is>
      </c>
      <c r="B102" s="3" t="inlineStr">
        <is>
          <t>Briefs &amp; Proposals</t>
        </is>
      </c>
      <c r="C102" s="3" t="inlineStr">
        <is>
          <t>/briefs/my-briefs</t>
        </is>
      </c>
      <c r="D102" s="3" t="inlineStr">
        <is>
          <t>Close / Cancel Brief</t>
        </is>
      </c>
      <c r="E102" s="3" t="inlineStr">
        <is>
          <t>Close an open brief to stop accepting new proposals</t>
        </is>
      </c>
      <c r="F102" s="3" t="inlineStr">
        <is>
          <t>Buyer has an 'Open' brief.</t>
        </is>
      </c>
      <c r="G102" s="3" t="inlineStr">
        <is>
          <t>None.</t>
        </is>
      </c>
      <c r="H102" s="3" t="inlineStr">
        <is>
          <t>1. On /briefs/my-briefs, click action menu on an open brief.
2. Select 'Close Brief'.
3. Confirm action prompt.</t>
        </is>
      </c>
      <c r="I102" s="3" t="inlineStr">
        <is>
          <t>API updates brief status to 'Closed' (PATCH /briefs/:id/close); status badge updates immediately; brief no longer listed on public /briefs catalog.</t>
        </is>
      </c>
      <c r="J102" s="4" t="inlineStr">
        <is>
          <t>P2</t>
        </is>
      </c>
      <c r="K102" s="4" t="inlineStr">
        <is>
          <t>Functional</t>
        </is>
      </c>
      <c r="L102" s="4" t="inlineStr">
        <is>
          <t>Buyer</t>
        </is>
      </c>
      <c r="M102" s="4" t="inlineStr">
        <is>
          <t>Desktop</t>
        </is>
      </c>
      <c r="N102" s="4" t="inlineStr">
        <is>
          <t>Not Run</t>
        </is>
      </c>
      <c r="O102" s="3" t="inlineStr"/>
      <c r="P102" s="4" t="inlineStr"/>
      <c r="Q102" s="3" t="inlineStr"/>
      <c r="R102" s="4" t="inlineStr"/>
      <c r="S102" s="3" t="inlineStr">
        <is>
          <t>Brief lifecycle termination.</t>
        </is>
      </c>
    </row>
    <row r="103" ht="65" customHeight="1">
      <c r="A103" s="5" t="inlineStr">
        <is>
          <t>BRF-018</t>
        </is>
      </c>
      <c r="B103" s="6" t="inlineStr">
        <is>
          <t>Briefs &amp; Proposals</t>
        </is>
      </c>
      <c r="C103" s="6" t="inlineStr">
        <is>
          <t>/briefs/my-proposals</t>
        </is>
      </c>
      <c r="D103" s="6" t="inlineStr">
        <is>
          <t>Seller My Proposals Dashboard</t>
        </is>
      </c>
      <c r="E103" s="6" t="inlineStr">
        <is>
          <t>Track status of submitted proposals on /briefs/my-proposals</t>
        </is>
      </c>
      <c r="F103" s="6" t="inlineStr">
        <is>
          <t>Seller logged in with submitted proposals.</t>
        </is>
      </c>
      <c r="G103" s="6" t="inlineStr">
        <is>
          <t>None.</t>
        </is>
      </c>
      <c r="H103" s="6" t="inlineStr">
        <is>
          <t>1. Navigate to /briefs/my-proposals.
2. Inspect table columns: Project Brief, Client Name, Bid Amount, Submitted Date, Status.
3. Check status badges (Pending, Accepted, Declined).</t>
        </is>
      </c>
      <c r="I103" s="6" t="inlineStr">
        <is>
          <t>Table lists all proposals submitted by seller; status pills accurately indicate whether client has accepted, rejected, or left bid pending.</t>
        </is>
      </c>
      <c r="J103" s="7" t="inlineStr">
        <is>
          <t>P1</t>
        </is>
      </c>
      <c r="K103" s="7" t="inlineStr">
        <is>
          <t>Functional</t>
        </is>
      </c>
      <c r="L103" s="7" t="inlineStr">
        <is>
          <t>Seller</t>
        </is>
      </c>
      <c r="M103" s="7" t="inlineStr">
        <is>
          <t>Desktop</t>
        </is>
      </c>
      <c r="N103" s="7" t="inlineStr">
        <is>
          <t>Not Run</t>
        </is>
      </c>
      <c r="O103" s="6" t="inlineStr"/>
      <c r="P103" s="7" t="inlineStr"/>
      <c r="Q103" s="6" t="inlineStr"/>
      <c r="R103" s="7" t="inlineStr"/>
      <c r="S103" s="6" t="inlineStr">
        <is>
          <t>Seller proposal tracking.</t>
        </is>
      </c>
    </row>
    <row r="104" ht="65" customHeight="1">
      <c r="A104" s="2" t="inlineStr">
        <is>
          <t>BRF-019</t>
        </is>
      </c>
      <c r="B104" s="3" t="inlineStr">
        <is>
          <t>Briefs &amp; Proposals</t>
        </is>
      </c>
      <c r="C104" s="3" t="inlineStr">
        <is>
          <t>/briefs/[id]</t>
        </is>
      </c>
      <c r="D104" s="3" t="inlineStr">
        <is>
          <t>Proposal Duplicate Guard</t>
        </is>
      </c>
      <c r="E104" s="3" t="inlineStr">
        <is>
          <t>Prevent seller from submitting multiple proposals to the same brief</t>
        </is>
      </c>
      <c r="F104" s="3" t="inlineStr">
        <is>
          <t>Seller has already submitted a proposal to this brief.</t>
        </is>
      </c>
      <c r="G104" s="3" t="inlineStr">
        <is>
          <t>None.</t>
        </is>
      </c>
      <c r="H104" s="3" t="inlineStr">
        <is>
          <t>1. Open brief where proposal was already submitted.
2. Inspect proposal action button.</t>
        </is>
      </c>
      <c r="I104" s="3" t="inlineStr">
        <is>
          <t>Button displays 'Proposal Submitted' (disabled) or modal indicates 'You have already applied to this project'; duplicate submission prevented.</t>
        </is>
      </c>
      <c r="J104" s="4" t="inlineStr">
        <is>
          <t>P2</t>
        </is>
      </c>
      <c r="K104" s="4" t="inlineStr">
        <is>
          <t>Functional</t>
        </is>
      </c>
      <c r="L104" s="4" t="inlineStr">
        <is>
          <t>Seller</t>
        </is>
      </c>
      <c r="M104" s="4" t="inlineStr">
        <is>
          <t>Desktop</t>
        </is>
      </c>
      <c r="N104" s="4" t="inlineStr">
        <is>
          <t>Not Run</t>
        </is>
      </c>
      <c r="O104" s="3" t="inlineStr"/>
      <c r="P104" s="4" t="inlineStr"/>
      <c r="Q104" s="3" t="inlineStr"/>
      <c r="R104" s="4" t="inlineStr"/>
      <c r="S104" s="3" t="inlineStr">
        <is>
          <t>Duplicate bid prevention.</t>
        </is>
      </c>
    </row>
    <row r="105" ht="65" customHeight="1">
      <c r="A105" s="5" t="inlineStr">
        <is>
          <t>BRF-020</t>
        </is>
      </c>
      <c r="B105" s="6" t="inlineStr">
        <is>
          <t>Briefs &amp; Proposals</t>
        </is>
      </c>
      <c r="C105" s="6" t="inlineStr">
        <is>
          <t>/briefs/[id]</t>
        </is>
      </c>
      <c r="D105" s="6" t="inlineStr">
        <is>
          <t>Guest Proposal Submission Prompt</t>
        </is>
      </c>
      <c r="E105" s="6" t="inlineStr">
        <is>
          <t>Click 'Send Proposal' on brief as unauthenticated Guest</t>
        </is>
      </c>
      <c r="F105" s="6" t="inlineStr">
        <is>
          <t>User logged out.</t>
        </is>
      </c>
      <c r="G105" s="6" t="inlineStr">
        <is>
          <t>None.</t>
        </is>
      </c>
      <c r="H105" s="6" t="inlineStr">
        <is>
          <t>1. Navigate to /briefs/[id].
2. Click 'Send Proposal' button.</t>
        </is>
      </c>
      <c r="I105" s="6" t="inlineStr">
        <is>
          <t>Action intercepted; user is redirected to /login?redirect=/briefs/[id] with prompt to sign in as a seller.</t>
        </is>
      </c>
      <c r="J105" s="7" t="inlineStr">
        <is>
          <t>P2</t>
        </is>
      </c>
      <c r="K105" s="7" t="inlineStr">
        <is>
          <t>Security</t>
        </is>
      </c>
      <c r="L105" s="7" t="inlineStr">
        <is>
          <t>Guest</t>
        </is>
      </c>
      <c r="M105" s="7" t="inlineStr">
        <is>
          <t>Desktop</t>
        </is>
      </c>
      <c r="N105" s="7" t="inlineStr">
        <is>
          <t>Not Run</t>
        </is>
      </c>
      <c r="O105" s="6" t="inlineStr"/>
      <c r="P105" s="7" t="inlineStr"/>
      <c r="Q105" s="6" t="inlineStr"/>
      <c r="R105" s="7" t="inlineStr"/>
      <c r="S105" s="6" t="inlineStr">
        <is>
          <t>Guest proposal trigger protection.</t>
        </is>
      </c>
    </row>
    <row r="106" ht="65" customHeight="1">
      <c r="A106" s="2" t="inlineStr">
        <is>
          <t>PAY-001</t>
        </is>
      </c>
      <c r="B106" s="3" t="inlineStr">
        <is>
          <t>Checkout &amp; Payments</t>
        </is>
      </c>
      <c r="C106" s="3" t="inlineStr">
        <is>
          <t>/pay/[id]</t>
        </is>
      </c>
      <c r="D106" s="3" t="inlineStr">
        <is>
          <t>Order Summary Calculation</t>
        </is>
      </c>
      <c r="E106" s="3" t="inlineStr">
        <is>
          <t>Verify price breakdown (subtotal, service fee, total) on checkout page</t>
        </is>
      </c>
      <c r="F106" s="3" t="inlineStr">
        <is>
          <t>Buyer logged in; navigating from package with Basic Tier ($50.00).</t>
        </is>
      </c>
      <c r="G106" s="3" t="inlineStr">
        <is>
          <t>URL: /pay/[id]?tier=basic</t>
        </is>
      </c>
      <c r="H106" s="3" t="inlineStr">
        <is>
          <t>1. Navigate to /pay/[id]?tier=basic.
2. Inspect Order Summary box.
3. Verify Subtotal ($50.00), Service Fee (e.g. $2.50 / 5%), and Total ($52.50).</t>
        </is>
      </c>
      <c r="I106" s="3" t="inlineStr">
        <is>
          <t>Prices calculate and format correctly; sum of subtotal plus fee equals total; no NaN or negative numbers displayed.</t>
        </is>
      </c>
      <c r="J106" s="4" t="inlineStr">
        <is>
          <t>P1</t>
        </is>
      </c>
      <c r="K106" s="4" t="inlineStr">
        <is>
          <t>Functional</t>
        </is>
      </c>
      <c r="L106" s="4" t="inlineStr">
        <is>
          <t>Buyer</t>
        </is>
      </c>
      <c r="M106" s="4" t="inlineStr">
        <is>
          <t>Desktop</t>
        </is>
      </c>
      <c r="N106" s="4" t="inlineStr">
        <is>
          <t>Not Run</t>
        </is>
      </c>
      <c r="O106" s="3" t="inlineStr"/>
      <c r="P106" s="4" t="inlineStr"/>
      <c r="Q106" s="3" t="inlineStr"/>
      <c r="R106" s="4" t="inlineStr"/>
      <c r="S106" s="3" t="inlineStr">
        <is>
          <t>Checkout financial breakdown.</t>
        </is>
      </c>
    </row>
    <row r="107" ht="65" customHeight="1">
      <c r="A107" s="5" t="inlineStr">
        <is>
          <t>PAY-002</t>
        </is>
      </c>
      <c r="B107" s="6" t="inlineStr">
        <is>
          <t>Checkout &amp; Payments</t>
        </is>
      </c>
      <c r="C107" s="6" t="inlineStr">
        <is>
          <t>/pay/[id]</t>
        </is>
      </c>
      <c r="D107" s="6" t="inlineStr">
        <is>
          <t>Stripe Elements Card Input</t>
        </is>
      </c>
      <c r="E107" s="6" t="inlineStr">
        <is>
          <t>Verify Stripe Elements card input fields render and validate</t>
        </is>
      </c>
      <c r="F107" s="6" t="inlineStr">
        <is>
          <t>Checkout page loaded.</t>
        </is>
      </c>
      <c r="G107" s="6" t="inlineStr">
        <is>
          <t>None.</t>
        </is>
      </c>
      <c r="H107" s="6" t="inlineStr">
        <is>
          <t>1. Inspect card input container (iframe hosted by Stripe).
2. Verify Card Number, Expiration Date, CVC, and Postal Code fields are visible.
3. Type incomplete card number.</t>
        </is>
      </c>
      <c r="I107" s="6" t="inlineStr">
        <is>
          <t>Stripe Elements iframe renders with zero CORS errors; incomplete card triggers inline validation error message.</t>
        </is>
      </c>
      <c r="J107" s="7" t="inlineStr">
        <is>
          <t>P1</t>
        </is>
      </c>
      <c r="K107" s="7" t="inlineStr">
        <is>
          <t>UI</t>
        </is>
      </c>
      <c r="L107" s="7" t="inlineStr">
        <is>
          <t>Buyer</t>
        </is>
      </c>
      <c r="M107" s="7" t="inlineStr">
        <is>
          <t>Desktop</t>
        </is>
      </c>
      <c r="N107" s="7" t="inlineStr">
        <is>
          <t>Not Run</t>
        </is>
      </c>
      <c r="O107" s="6" t="inlineStr"/>
      <c r="P107" s="7" t="inlineStr"/>
      <c r="Q107" s="6" t="inlineStr"/>
      <c r="R107" s="7" t="inlineStr"/>
      <c r="S107" s="6" t="inlineStr">
        <is>
          <t>Stripe Elements integration.</t>
        </is>
      </c>
    </row>
    <row r="108" ht="65" customHeight="1">
      <c r="A108" s="2" t="inlineStr">
        <is>
          <t>PAY-003</t>
        </is>
      </c>
      <c r="B108" s="3" t="inlineStr">
        <is>
          <t>Checkout &amp; Payments</t>
        </is>
      </c>
      <c r="C108" s="3" t="inlineStr">
        <is>
          <t>/pay/[id]</t>
        </is>
      </c>
      <c r="D108" s="3" t="inlineStr">
        <is>
          <t>Successful Stripe Payment</t>
        </is>
      </c>
      <c r="E108" s="3" t="inlineStr">
        <is>
          <t>Process payment using valid Stripe test card (4242...)</t>
        </is>
      </c>
      <c r="F108" s="3" t="inlineStr">
        <is>
          <t>Checkout page loaded with active order summary.</t>
        </is>
      </c>
      <c r="G108" s="3" t="inlineStr">
        <is>
          <t>Card: 4242 4242 4242 4242 | Exp: 12/28 | CVC: 123 | Zip: 90210</t>
        </is>
      </c>
      <c r="H108" s="3" t="inlineStr">
        <is>
          <t>1. Enter valid test card details.
2. Click 'Pay Now' / 'Confirm &amp; Pay' button.
3. Wait for payment intent processing.</t>
        </is>
      </c>
      <c r="I108" s="3" t="inlineStr">
        <is>
          <t>Payment processed by Stripe (HTTP 200); loader displays during processing; user redirected to /success with order reference.</t>
        </is>
      </c>
      <c r="J108" s="4" t="inlineStr">
        <is>
          <t>P1</t>
        </is>
      </c>
      <c r="K108" s="4" t="inlineStr">
        <is>
          <t>Functional</t>
        </is>
      </c>
      <c r="L108" s="4" t="inlineStr">
        <is>
          <t>Buyer</t>
        </is>
      </c>
      <c r="M108" s="4" t="inlineStr">
        <is>
          <t>Desktop</t>
        </is>
      </c>
      <c r="N108" s="4" t="inlineStr">
        <is>
          <t>Not Run</t>
        </is>
      </c>
      <c r="O108" s="3" t="inlineStr"/>
      <c r="P108" s="4" t="inlineStr"/>
      <c r="Q108" s="3" t="inlineStr"/>
      <c r="R108" s="4" t="inlineStr"/>
      <c r="S108" s="3" t="inlineStr">
        <is>
          <t>End-to-end checkout execution.</t>
        </is>
      </c>
    </row>
    <row r="109" ht="65" customHeight="1">
      <c r="A109" s="5" t="inlineStr">
        <is>
          <t>PAY-004</t>
        </is>
      </c>
      <c r="B109" s="6" t="inlineStr">
        <is>
          <t>Checkout &amp; Payments</t>
        </is>
      </c>
      <c r="C109" s="6" t="inlineStr">
        <is>
          <t>/pay/[id]</t>
        </is>
      </c>
      <c r="D109" s="6" t="inlineStr">
        <is>
          <t>Payment Declined Handling</t>
        </is>
      </c>
      <c r="E109" s="6" t="inlineStr">
        <is>
          <t>Handle card declined error using test card (4000 0000 0000 0002)</t>
        </is>
      </c>
      <c r="F109" s="6" t="inlineStr">
        <is>
          <t>Checkout page loaded.</t>
        </is>
      </c>
      <c r="G109" s="6" t="inlineStr">
        <is>
          <t>Card: 4000 0000 0000 0002 | Exp: 12/28 | CVC: 123</t>
        </is>
      </c>
      <c r="H109" s="6" t="inlineStr">
        <is>
          <t>1. Enter card declined test number.
2. Click 'Pay Now'.</t>
        </is>
      </c>
      <c r="I109" s="6" t="inlineStr">
        <is>
          <t>Payment fails gracefully; clear error banner displays: 'Your card was declined. Please try another card'; user remains on checkout to retry.</t>
        </is>
      </c>
      <c r="J109" s="7" t="inlineStr">
        <is>
          <t>P1</t>
        </is>
      </c>
      <c r="K109" s="7" t="inlineStr">
        <is>
          <t>Negative</t>
        </is>
      </c>
      <c r="L109" s="7" t="inlineStr">
        <is>
          <t>Buyer</t>
        </is>
      </c>
      <c r="M109" s="7" t="inlineStr">
        <is>
          <t>Desktop</t>
        </is>
      </c>
      <c r="N109" s="7" t="inlineStr">
        <is>
          <t>Not Run</t>
        </is>
      </c>
      <c r="O109" s="6" t="inlineStr"/>
      <c r="P109" s="7" t="inlineStr"/>
      <c r="Q109" s="6" t="inlineStr"/>
      <c r="R109" s="7" t="inlineStr"/>
      <c r="S109" s="6" t="inlineStr">
        <is>
          <t>Payment error handling.</t>
        </is>
      </c>
    </row>
    <row r="110" ht="65" customHeight="1">
      <c r="A110" s="2" t="inlineStr">
        <is>
          <t>PAY-005</t>
        </is>
      </c>
      <c r="B110" s="3" t="inlineStr">
        <is>
          <t>Checkout &amp; Payments</t>
        </is>
      </c>
      <c r="C110" s="3" t="inlineStr">
        <is>
          <t>/pay/[id]</t>
        </is>
      </c>
      <c r="D110" s="3" t="inlineStr">
        <is>
          <t>Insufficient Funds Error</t>
        </is>
      </c>
      <c r="E110" s="3" t="inlineStr">
        <is>
          <t>Handle insufficient funds error card (4000 0000 0000 0999)</t>
        </is>
      </c>
      <c r="F110" s="3" t="inlineStr">
        <is>
          <t>Checkout page loaded.</t>
        </is>
      </c>
      <c r="G110" s="3" t="inlineStr">
        <is>
          <t>Card: 4000 0000 0000 0999 | Exp: 12/28 | CVC: 123</t>
        </is>
      </c>
      <c r="H110" s="3" t="inlineStr">
        <is>
          <t>1. Enter insufficient funds test card.
2. Submit payment.</t>
        </is>
      </c>
      <c r="I110" s="3" t="inlineStr">
        <is>
          <t>Payment fails with error 'Your card has insufficient funds'; form remains active for alternate payment method.</t>
        </is>
      </c>
      <c r="J110" s="4" t="inlineStr">
        <is>
          <t>P2</t>
        </is>
      </c>
      <c r="K110" s="4" t="inlineStr">
        <is>
          <t>Negative</t>
        </is>
      </c>
      <c r="L110" s="4" t="inlineStr">
        <is>
          <t>Buyer</t>
        </is>
      </c>
      <c r="M110" s="4" t="inlineStr">
        <is>
          <t>Desktop</t>
        </is>
      </c>
      <c r="N110" s="4" t="inlineStr">
        <is>
          <t>Not Run</t>
        </is>
      </c>
      <c r="O110" s="3" t="inlineStr"/>
      <c r="P110" s="4" t="inlineStr"/>
      <c r="Q110" s="3" t="inlineStr"/>
      <c r="R110" s="4" t="inlineStr"/>
      <c r="S110" s="3" t="inlineStr">
        <is>
          <t>Insufficient funds handling.</t>
        </is>
      </c>
    </row>
    <row r="111" ht="65" customHeight="1">
      <c r="A111" s="5" t="inlineStr">
        <is>
          <t>PAY-006</t>
        </is>
      </c>
      <c r="B111" s="6" t="inlineStr">
        <is>
          <t>Checkout &amp; Payments</t>
        </is>
      </c>
      <c r="C111" s="6" t="inlineStr">
        <is>
          <t>/pay/[id]</t>
        </is>
      </c>
      <c r="D111" s="6" t="inlineStr">
        <is>
          <t>3D Secure Authentication Flow</t>
        </is>
      </c>
      <c r="E111" s="6" t="inlineStr">
        <is>
          <t>Handle 3D Secure / OTP authentication challenge (4000 0000 0000 3155)</t>
        </is>
      </c>
      <c r="F111" s="6" t="inlineStr">
        <is>
          <t>Checkout page loaded.</t>
        </is>
      </c>
      <c r="G111" s="6" t="inlineStr">
        <is>
          <t>Card: 4000 0000 0000 3155 | Exp: 12/28 | CVC: 123</t>
        </is>
      </c>
      <c r="H111" s="6" t="inlineStr">
        <is>
          <t>1. Enter 3DS challenge test card.
2. Click 'Pay Now'.
3. In Stripe 3DS modal, click 'Complete Authentication'.</t>
        </is>
      </c>
      <c r="I111" s="6" t="inlineStr">
        <is>
          <t>Stripe 3DS modal appears; completing authentication resolves payment successfully and redirects to /success.</t>
        </is>
      </c>
      <c r="J111" s="7" t="inlineStr">
        <is>
          <t>P1</t>
        </is>
      </c>
      <c r="K111" s="7" t="inlineStr">
        <is>
          <t>Integration</t>
        </is>
      </c>
      <c r="L111" s="7" t="inlineStr">
        <is>
          <t>Buyer</t>
        </is>
      </c>
      <c r="M111" s="7" t="inlineStr">
        <is>
          <t>Desktop</t>
        </is>
      </c>
      <c r="N111" s="7" t="inlineStr">
        <is>
          <t>Not Run</t>
        </is>
      </c>
      <c r="O111" s="6" t="inlineStr"/>
      <c r="P111" s="7" t="inlineStr"/>
      <c r="Q111" s="6" t="inlineStr"/>
      <c r="R111" s="7" t="inlineStr"/>
      <c r="S111" s="6" t="inlineStr">
        <is>
          <t>3D Secure SCA compliance.</t>
        </is>
      </c>
    </row>
    <row r="112" ht="65" customHeight="1">
      <c r="A112" s="2" t="inlineStr">
        <is>
          <t>PAY-007</t>
        </is>
      </c>
      <c r="B112" s="3" t="inlineStr">
        <is>
          <t>Checkout &amp; Payments</t>
        </is>
      </c>
      <c r="C112" s="3" t="inlineStr">
        <is>
          <t>/success</t>
        </is>
      </c>
      <c r="D112" s="3" t="inlineStr">
        <is>
          <t>Payment Success Screen</t>
        </is>
      </c>
      <c r="E112" s="3" t="inlineStr">
        <is>
          <t>Verify payment confirmation screen elements on /success</t>
        </is>
      </c>
      <c r="F112" s="3" t="inlineStr">
        <is>
          <t>Payment completed successfully.</t>
        </is>
      </c>
      <c r="G112" s="3" t="inlineStr">
        <is>
          <t>None.</t>
        </is>
      </c>
      <c r="H112" s="3" t="inlineStr">
        <is>
          <t>1. Inspect /success page.
2. Verify checkmark celebration animation, order ID, amount paid, and 'View Order Details' button.
3. Click 'View Order Details'.</t>
        </is>
      </c>
      <c r="I112" s="3" t="inlineStr">
        <is>
          <t>Confirmation screen renders cleanly; clicking 'View Order Details' navigates directly to /orders/[new_order_id].</t>
        </is>
      </c>
      <c r="J112" s="4" t="inlineStr">
        <is>
          <t>P1</t>
        </is>
      </c>
      <c r="K112" s="4" t="inlineStr">
        <is>
          <t>UI</t>
        </is>
      </c>
      <c r="L112" s="4" t="inlineStr">
        <is>
          <t>Buyer</t>
        </is>
      </c>
      <c r="M112" s="4" t="inlineStr">
        <is>
          <t>Desktop</t>
        </is>
      </c>
      <c r="N112" s="4" t="inlineStr">
        <is>
          <t>Not Run</t>
        </is>
      </c>
      <c r="O112" s="3" t="inlineStr"/>
      <c r="P112" s="4" t="inlineStr"/>
      <c r="Q112" s="3" t="inlineStr"/>
      <c r="R112" s="4" t="inlineStr"/>
      <c r="S112" s="3" t="inlineStr">
        <is>
          <t>Post-payment confirmation screen.</t>
        </is>
      </c>
    </row>
    <row r="113" ht="65" customHeight="1">
      <c r="A113" s="5" t="inlineStr">
        <is>
          <t>PAY-008</t>
        </is>
      </c>
      <c r="B113" s="6" t="inlineStr">
        <is>
          <t>Checkout &amp; Payments</t>
        </is>
      </c>
      <c r="C113" s="6" t="inlineStr">
        <is>
          <t>/pay/[id]</t>
        </is>
      </c>
      <c r="D113" s="6" t="inlineStr">
        <is>
          <t>Stripe Hosted Checkout Redirect</t>
        </is>
      </c>
      <c r="E113" s="6" t="inlineStr">
        <is>
          <t>Verify fallback to Stripe Hosted Checkout URL when applicable</t>
        </is>
      </c>
      <c r="F113" s="6" t="inlineStr">
        <is>
          <t>Checkout configured with server-side Stripe Checkout session.</t>
        </is>
      </c>
      <c r="G113" s="6" t="inlineStr">
        <is>
          <t>None.</t>
        </is>
      </c>
      <c r="H113" s="6" t="inlineStr">
        <is>
          <t>1. Click 'Continue with Stripe' on checkout page.
2. Inspect browser URL.</t>
        </is>
      </c>
      <c r="I113" s="6" t="inlineStr">
        <is>
          <t>Browser redirects to checkout.stripe.com with secure session token; cancel URL returns user to /pay/[id].</t>
        </is>
      </c>
      <c r="J113" s="7" t="inlineStr">
        <is>
          <t>P2</t>
        </is>
      </c>
      <c r="K113" s="7" t="inlineStr">
        <is>
          <t>Integration</t>
        </is>
      </c>
      <c r="L113" s="7" t="inlineStr">
        <is>
          <t>Buyer</t>
        </is>
      </c>
      <c r="M113" s="7" t="inlineStr">
        <is>
          <t>Desktop</t>
        </is>
      </c>
      <c r="N113" s="7" t="inlineStr">
        <is>
          <t>Not Run</t>
        </is>
      </c>
      <c r="O113" s="6" t="inlineStr"/>
      <c r="P113" s="7" t="inlineStr"/>
      <c r="Q113" s="6" t="inlineStr"/>
      <c r="R113" s="7" t="inlineStr"/>
      <c r="S113" s="6" t="inlineStr">
        <is>
          <t>Hosted checkout redirection.</t>
        </is>
      </c>
    </row>
    <row r="114" ht="65" customHeight="1">
      <c r="A114" s="2" t="inlineStr">
        <is>
          <t>PAY-009</t>
        </is>
      </c>
      <c r="B114" s="3" t="inlineStr">
        <is>
          <t>Checkout &amp; Payments</t>
        </is>
      </c>
      <c r="C114" s="3" t="inlineStr">
        <is>
          <t>/pay/[id]</t>
        </is>
      </c>
      <c r="D114" s="3" t="inlineStr">
        <is>
          <t>Double Submission Guard</t>
        </is>
      </c>
      <c r="E114" s="3" t="inlineStr">
        <is>
          <t>Prevent duplicate charges when clicking 'Pay Now' repeatedly</t>
        </is>
      </c>
      <c r="F114" s="3" t="inlineStr">
        <is>
          <t>Checkout page with filled card data.</t>
        </is>
      </c>
      <c r="G114" s="3" t="inlineStr">
        <is>
          <t>Valid test card.</t>
        </is>
      </c>
      <c r="H114" s="3" t="inlineStr">
        <is>
          <t>1. Rapidly click 'Pay Now' button 3 times in quick succession.</t>
        </is>
      </c>
      <c r="I114" s="3" t="inlineStr">
        <is>
          <t>Button disables immediately and shows spinner on first click; duplicate network requests are debounced / blocked; exactly one charge is processed.</t>
        </is>
      </c>
      <c r="J114" s="4" t="inlineStr">
        <is>
          <t>P1</t>
        </is>
      </c>
      <c r="K114" s="4" t="inlineStr">
        <is>
          <t>Boundary</t>
        </is>
      </c>
      <c r="L114" s="4" t="inlineStr">
        <is>
          <t>Buyer</t>
        </is>
      </c>
      <c r="M114" s="4" t="inlineStr">
        <is>
          <t>Desktop</t>
        </is>
      </c>
      <c r="N114" s="4" t="inlineStr">
        <is>
          <t>Not Run</t>
        </is>
      </c>
      <c r="O114" s="3" t="inlineStr"/>
      <c r="P114" s="4" t="inlineStr"/>
      <c r="Q114" s="3" t="inlineStr"/>
      <c r="R114" s="4" t="inlineStr"/>
      <c r="S114" s="3" t="inlineStr">
        <is>
          <t>Payment debouncing safeguard.</t>
        </is>
      </c>
    </row>
    <row r="115" ht="65" customHeight="1">
      <c r="A115" s="5" t="inlineStr">
        <is>
          <t>PAY-010</t>
        </is>
      </c>
      <c r="B115" s="6" t="inlineStr">
        <is>
          <t>Checkout &amp; Payments</t>
        </is>
      </c>
      <c r="C115" s="6" t="inlineStr">
        <is>
          <t>/pay/[id]</t>
        </is>
      </c>
      <c r="D115" s="6" t="inlineStr">
        <is>
          <t>Expired Card Validation</t>
        </is>
      </c>
      <c r="E115" s="6" t="inlineStr">
        <is>
          <t>Attempt payment with past expiration date</t>
        </is>
      </c>
      <c r="F115" s="6" t="inlineStr">
        <is>
          <t>Checkout page loaded.</t>
        </is>
      </c>
      <c r="G115" s="6" t="inlineStr">
        <is>
          <t>Card: 4242... | Exp: 01/20 (Past date) | CVC: 123</t>
        </is>
      </c>
      <c r="H115" s="6" t="inlineStr">
        <is>
          <t>1. Enter past expiration date.
2. Inspect field state.</t>
        </is>
      </c>
      <c r="I115" s="6" t="inlineStr">
        <is>
          <t>Stripe Elements displays inline error 'Your card's expiration date is in the past'; 'Pay Now' button remains disabled or blocks submit.</t>
        </is>
      </c>
      <c r="J115" s="7" t="inlineStr">
        <is>
          <t>P2</t>
        </is>
      </c>
      <c r="K115" s="7" t="inlineStr">
        <is>
          <t>Boundary</t>
        </is>
      </c>
      <c r="L115" s="7" t="inlineStr">
        <is>
          <t>Buyer</t>
        </is>
      </c>
      <c r="M115" s="7" t="inlineStr">
        <is>
          <t>Desktop</t>
        </is>
      </c>
      <c r="N115" s="7" t="inlineStr">
        <is>
          <t>Not Run</t>
        </is>
      </c>
      <c r="O115" s="6" t="inlineStr"/>
      <c r="P115" s="7" t="inlineStr"/>
      <c r="Q115" s="6" t="inlineStr"/>
      <c r="R115" s="7" t="inlineStr"/>
      <c r="S115" s="6" t="inlineStr">
        <is>
          <t>Card expiration validation.</t>
        </is>
      </c>
    </row>
    <row r="116" ht="65" customHeight="1">
      <c r="A116" s="2" t="inlineStr">
        <is>
          <t>PAY-011</t>
        </is>
      </c>
      <c r="B116" s="3" t="inlineStr">
        <is>
          <t>Checkout &amp; Payments</t>
        </is>
      </c>
      <c r="C116" s="3" t="inlineStr">
        <is>
          <t>/pay/[id]</t>
        </is>
      </c>
      <c r="D116" s="3" t="inlineStr">
        <is>
          <t>Invalid CVC Code</t>
        </is>
      </c>
      <c r="E116" s="3" t="inlineStr">
        <is>
          <t>Attempt payment with incomplete CVC</t>
        </is>
      </c>
      <c r="F116" s="3" t="inlineStr">
        <is>
          <t>Checkout page loaded.</t>
        </is>
      </c>
      <c r="G116" s="3" t="inlineStr">
        <is>
          <t>CVC: '1'</t>
        </is>
      </c>
      <c r="H116" s="3" t="inlineStr">
        <is>
          <t>1. Enter 1 digit in CVC field.
2. Attempt submission.</t>
        </is>
      </c>
      <c r="I116" s="3" t="inlineStr">
        <is>
          <t>Field highlights red with error 'Your card's security code is incomplete'; submission blocked.</t>
        </is>
      </c>
      <c r="J116" s="4" t="inlineStr">
        <is>
          <t>P2</t>
        </is>
      </c>
      <c r="K116" s="4" t="inlineStr">
        <is>
          <t>Boundary</t>
        </is>
      </c>
      <c r="L116" s="4" t="inlineStr">
        <is>
          <t>Buyer</t>
        </is>
      </c>
      <c r="M116" s="4" t="inlineStr">
        <is>
          <t>Desktop</t>
        </is>
      </c>
      <c r="N116" s="4" t="inlineStr">
        <is>
          <t>Not Run</t>
        </is>
      </c>
      <c r="O116" s="3" t="inlineStr"/>
      <c r="P116" s="4" t="inlineStr"/>
      <c r="Q116" s="3" t="inlineStr"/>
      <c r="R116" s="4" t="inlineStr"/>
      <c r="S116" s="3" t="inlineStr">
        <is>
          <t>CVC boundary validation.</t>
        </is>
      </c>
    </row>
    <row r="117" ht="65" customHeight="1">
      <c r="A117" s="5" t="inlineStr">
        <is>
          <t>PAY-012</t>
        </is>
      </c>
      <c r="B117" s="6" t="inlineStr">
        <is>
          <t>Checkout &amp; Payments</t>
        </is>
      </c>
      <c r="C117" s="6" t="inlineStr">
        <is>
          <t>/pay/[id]</t>
        </is>
      </c>
      <c r="D117" s="6" t="inlineStr">
        <is>
          <t>Guest Access Guard</t>
        </is>
      </c>
      <c r="E117" s="6" t="inlineStr">
        <is>
          <t>Attempt to access /pay/[id] as unauthenticated Guest</t>
        </is>
      </c>
      <c r="F117" s="6" t="inlineStr">
        <is>
          <t>User logged out.</t>
        </is>
      </c>
      <c r="G117" s="6" t="inlineStr">
        <is>
          <t>None.</t>
        </is>
      </c>
      <c r="H117" s="6" t="inlineStr">
        <is>
          <t>1. Navigate to /pay/[id] directly.</t>
        </is>
      </c>
      <c r="I117" s="6" t="inlineStr">
        <is>
          <t>Proxy intercepts request; redirects to /login?redirect=/pay/[id]; payment form hidden from unauthenticated guests.</t>
        </is>
      </c>
      <c r="J117" s="7" t="inlineStr">
        <is>
          <t>P1</t>
        </is>
      </c>
      <c r="K117" s="7" t="inlineStr">
        <is>
          <t>Security</t>
        </is>
      </c>
      <c r="L117" s="7" t="inlineStr">
        <is>
          <t>Guest</t>
        </is>
      </c>
      <c r="M117" s="7" t="inlineStr">
        <is>
          <t>Desktop</t>
        </is>
      </c>
      <c r="N117" s="7" t="inlineStr">
        <is>
          <t>Not Run</t>
        </is>
      </c>
      <c r="O117" s="6" t="inlineStr"/>
      <c r="P117" s="7" t="inlineStr"/>
      <c r="Q117" s="6" t="inlineStr"/>
      <c r="R117" s="7" t="inlineStr"/>
      <c r="S117" s="6" t="inlineStr">
        <is>
          <t>Checkout authentication guard.</t>
        </is>
      </c>
    </row>
    <row r="118" ht="65" customHeight="1">
      <c r="A118" s="2" t="inlineStr">
        <is>
          <t>PAY-013</t>
        </is>
      </c>
      <c r="B118" s="3" t="inlineStr">
        <is>
          <t>Checkout &amp; Payments</t>
        </is>
      </c>
      <c r="C118" s="3" t="inlineStr">
        <is>
          <t>/pay/[id]</t>
        </is>
      </c>
      <c r="D118" s="3" t="inlineStr">
        <is>
          <t>Seller Self-Checkout Restriction</t>
        </is>
      </c>
      <c r="E118" s="3" t="inlineStr">
        <is>
          <t>Prevent seller from accessing /pay for their own package</t>
        </is>
      </c>
      <c r="F118" s="3" t="inlineStr">
        <is>
          <t>Seller logged in; attempts /pay/[own_package_id].</t>
        </is>
      </c>
      <c r="G118" s="3" t="inlineStr">
        <is>
          <t>Own package ID.</t>
        </is>
      </c>
      <c r="H118" s="3" t="inlineStr">
        <is>
          <t>1. Access checkout URL for own package.</t>
        </is>
      </c>
      <c r="I118" s="3" t="inlineStr">
        <is>
          <t>Application blocks checkout; displays alert 'You cannot purchase your own service'; redirects to /dashboard.</t>
        </is>
      </c>
      <c r="J118" s="4" t="inlineStr">
        <is>
          <t>P1</t>
        </is>
      </c>
      <c r="K118" s="4" t="inlineStr">
        <is>
          <t>Security</t>
        </is>
      </c>
      <c r="L118" s="4" t="inlineStr">
        <is>
          <t>Seller</t>
        </is>
      </c>
      <c r="M118" s="4" t="inlineStr">
        <is>
          <t>Desktop</t>
        </is>
      </c>
      <c r="N118" s="4" t="inlineStr">
        <is>
          <t>Not Run</t>
        </is>
      </c>
      <c r="O118" s="3" t="inlineStr"/>
      <c r="P118" s="4" t="inlineStr"/>
      <c r="Q118" s="3" t="inlineStr"/>
      <c r="R118" s="4" t="inlineStr"/>
      <c r="S118" s="3" t="inlineStr">
        <is>
          <t>Self-checkout restriction.</t>
        </is>
      </c>
    </row>
    <row r="119" ht="65" customHeight="1">
      <c r="A119" s="5" t="inlineStr">
        <is>
          <t>PAY-014</t>
        </is>
      </c>
      <c r="B119" s="6" t="inlineStr">
        <is>
          <t>Checkout &amp; Payments</t>
        </is>
      </c>
      <c r="C119" s="6" t="inlineStr">
        <is>
          <t>/pay/[id]</t>
        </is>
      </c>
      <c r="D119" s="6" t="inlineStr">
        <is>
          <t>Promo Code Validation</t>
        </is>
      </c>
      <c r="E119" s="6" t="inlineStr">
        <is>
          <t>Apply valid discount coupon code</t>
        </is>
      </c>
      <c r="F119" s="6" t="inlineStr">
        <is>
          <t>Checkout page loaded.</t>
        </is>
      </c>
      <c r="G119" s="6" t="inlineStr">
        <is>
          <t>Promo Code: 'SAVE10'</t>
        </is>
      </c>
      <c r="H119" s="6" t="inlineStr">
        <is>
          <t>1. In 'Add Promo Code' input, type 'SAVE10'.
2. Click 'Apply'.</t>
        </is>
      </c>
      <c r="I119" s="6" t="inlineStr">
        <is>
          <t>Discount line item appears in order summary; total price recalculates downwards; success feedback shows 'Coupon applied'.</t>
        </is>
      </c>
      <c r="J119" s="7" t="inlineStr">
        <is>
          <t>P3</t>
        </is>
      </c>
      <c r="K119" s="7" t="inlineStr">
        <is>
          <t>Functional</t>
        </is>
      </c>
      <c r="L119" s="7" t="inlineStr">
        <is>
          <t>Buyer</t>
        </is>
      </c>
      <c r="M119" s="7" t="inlineStr">
        <is>
          <t>Desktop</t>
        </is>
      </c>
      <c r="N119" s="7" t="inlineStr">
        <is>
          <t>Not Run</t>
        </is>
      </c>
      <c r="O119" s="6" t="inlineStr"/>
      <c r="P119" s="7" t="inlineStr"/>
      <c r="Q119" s="6" t="inlineStr"/>
      <c r="R119" s="7" t="inlineStr"/>
      <c r="S119" s="6" t="inlineStr">
        <is>
          <t>Promotional discount calculation.</t>
        </is>
      </c>
    </row>
    <row r="120" ht="65" customHeight="1">
      <c r="A120" s="2" t="inlineStr">
        <is>
          <t>PAY-015</t>
        </is>
      </c>
      <c r="B120" s="3" t="inlineStr">
        <is>
          <t>Checkout &amp; Payments</t>
        </is>
      </c>
      <c r="C120" s="3" t="inlineStr">
        <is>
          <t>/pay/[id]</t>
        </is>
      </c>
      <c r="D120" s="3" t="inlineStr">
        <is>
          <t>Invalid Promo Code</t>
        </is>
      </c>
      <c r="E120" s="3" t="inlineStr">
        <is>
          <t>Apply expired or non-existent coupon code</t>
        </is>
      </c>
      <c r="F120" s="3" t="inlineStr">
        <is>
          <t>Checkout page loaded.</t>
        </is>
      </c>
      <c r="G120" s="3" t="inlineStr">
        <is>
          <t>Promo Code: 'INVALIDCOUPON999'</t>
        </is>
      </c>
      <c r="H120" s="3" t="inlineStr">
        <is>
          <t>1. Enter 'INVALIDCOUPON999'.
2. Click 'Apply'.</t>
        </is>
      </c>
      <c r="I120" s="3" t="inlineStr">
        <is>
          <t>Error toast 'Invalid or expired coupon code' appears; total price remains unchanged.</t>
        </is>
      </c>
      <c r="J120" s="4" t="inlineStr">
        <is>
          <t>P3</t>
        </is>
      </c>
      <c r="K120" s="4" t="inlineStr">
        <is>
          <t>Negative</t>
        </is>
      </c>
      <c r="L120" s="4" t="inlineStr">
        <is>
          <t>Buyer</t>
        </is>
      </c>
      <c r="M120" s="4" t="inlineStr">
        <is>
          <t>Desktop</t>
        </is>
      </c>
      <c r="N120" s="4" t="inlineStr">
        <is>
          <t>Not Run</t>
        </is>
      </c>
      <c r="O120" s="3" t="inlineStr"/>
      <c r="P120" s="4" t="inlineStr"/>
      <c r="Q120" s="3" t="inlineStr"/>
      <c r="R120" s="4" t="inlineStr"/>
      <c r="S120" s="3" t="inlineStr">
        <is>
          <t>Coupon validation error handling.</t>
        </is>
      </c>
    </row>
    <row r="121" ht="65" customHeight="1">
      <c r="A121" s="5" t="inlineStr">
        <is>
          <t>ORD-001</t>
        </is>
      </c>
      <c r="B121" s="6" t="inlineStr">
        <is>
          <t>Orders Lifecycle</t>
        </is>
      </c>
      <c r="C121" s="6" t="inlineStr">
        <is>
          <t>/orders</t>
        </is>
      </c>
      <c r="D121" s="6" t="inlineStr">
        <is>
          <t>Buyer Orders Dashboard</t>
        </is>
      </c>
      <c r="E121" s="6" t="inlineStr">
        <is>
          <t>Inspect Buyer Orders dashboard listing and status tabs</t>
        </is>
      </c>
      <c r="F121" s="6" t="inlineStr">
        <is>
          <t>Buyer logged in with order history.</t>
        </is>
      </c>
      <c r="G121" s="6" t="inlineStr">
        <is>
          <t>None.</t>
        </is>
      </c>
      <c r="H121" s="6" t="inlineStr">
        <is>
          <t>1. Navigate to /orders.
2. Inspect status filter tabs (All, Active, Completed, Cancelled).
3. Verify order cards (Gig Title, Seller Name, Price, Delivery Date, Status Pill).</t>
        </is>
      </c>
      <c r="I121" s="6" t="inlineStr">
        <is>
          <t>Orders load from API; status pills match order states; clicking an order card navigates to /orders/[id].</t>
        </is>
      </c>
      <c r="J121" s="7" t="inlineStr">
        <is>
          <t>P1</t>
        </is>
      </c>
      <c r="K121" s="7" t="inlineStr">
        <is>
          <t>Functional</t>
        </is>
      </c>
      <c r="L121" s="7" t="inlineStr">
        <is>
          <t>Buyer</t>
        </is>
      </c>
      <c r="M121" s="7" t="inlineStr">
        <is>
          <t>Desktop</t>
        </is>
      </c>
      <c r="N121" s="7" t="inlineStr">
        <is>
          <t>Not Run</t>
        </is>
      </c>
      <c r="O121" s="6" t="inlineStr"/>
      <c r="P121" s="7" t="inlineStr"/>
      <c r="Q121" s="6" t="inlineStr"/>
      <c r="R121" s="7" t="inlineStr"/>
      <c r="S121" s="6" t="inlineStr">
        <is>
          <t>Buyer orders tracking.</t>
        </is>
      </c>
    </row>
    <row r="122" ht="65" customHeight="1">
      <c r="A122" s="2" t="inlineStr">
        <is>
          <t>ORD-002</t>
        </is>
      </c>
      <c r="B122" s="3" t="inlineStr">
        <is>
          <t>Orders Lifecycle</t>
        </is>
      </c>
      <c r="C122" s="3" t="inlineStr">
        <is>
          <t>/orders</t>
        </is>
      </c>
      <c r="D122" s="3" t="inlineStr">
        <is>
          <t>Seller Access Redirect</t>
        </is>
      </c>
      <c r="E122" s="3" t="inlineStr">
        <is>
          <t>Verify sellers accessing /orders are redirected to /manage-orders</t>
        </is>
      </c>
      <c r="F122" s="3" t="inlineStr">
        <is>
          <t>Seller logged in.</t>
        </is>
      </c>
      <c r="G122" s="3" t="inlineStr">
        <is>
          <t>None.</t>
        </is>
      </c>
      <c r="H122" s="3" t="inlineStr">
        <is>
          <t>1. As seller, navigate to /orders in browser URL bar.</t>
        </is>
      </c>
      <c r="I122" s="3" t="inlineStr">
        <is>
          <t>Proxy detects isSeller: true; immediately redirects user to /manage-orders.</t>
        </is>
      </c>
      <c r="J122" s="4" t="inlineStr">
        <is>
          <t>P1</t>
        </is>
      </c>
      <c r="K122" s="4" t="inlineStr">
        <is>
          <t>Security</t>
        </is>
      </c>
      <c r="L122" s="4" t="inlineStr">
        <is>
          <t>Seller</t>
        </is>
      </c>
      <c r="M122" s="4" t="inlineStr">
        <is>
          <t>Desktop</t>
        </is>
      </c>
      <c r="N122" s="4" t="inlineStr">
        <is>
          <t>Not Run</t>
        </is>
      </c>
      <c r="O122" s="3" t="inlineStr"/>
      <c r="P122" s="4" t="inlineStr"/>
      <c r="Q122" s="3" t="inlineStr"/>
      <c r="R122" s="4" t="inlineStr"/>
      <c r="S122" s="3" t="inlineStr">
        <is>
          <t>Role route separation.</t>
        </is>
      </c>
    </row>
    <row r="123" ht="65" customHeight="1">
      <c r="A123" s="5" t="inlineStr">
        <is>
          <t>ORD-003</t>
        </is>
      </c>
      <c r="B123" s="6" t="inlineStr">
        <is>
          <t>Orders Lifecycle</t>
        </is>
      </c>
      <c r="C123" s="6" t="inlineStr">
        <is>
          <t>/orders/manage</t>
        </is>
      </c>
      <c r="D123" s="6" t="inlineStr">
        <is>
          <t>Buyer Orders Management</t>
        </is>
      </c>
      <c r="E123" s="6" t="inlineStr">
        <is>
          <t>Inspect advanced orders management view on /orders/manage</t>
        </is>
      </c>
      <c r="F123" s="6" t="inlineStr">
        <is>
          <t>Buyer logged in.</t>
        </is>
      </c>
      <c r="G123" s="6" t="inlineStr">
        <is>
          <t>None.</t>
        </is>
      </c>
      <c r="H123" s="6" t="inlineStr">
        <is>
          <t>1. Navigate to /orders/manage.
2. Verify order search input and date filters.
3. Search by order ID.</t>
        </is>
      </c>
      <c r="I123" s="6" t="inlineStr">
        <is>
          <t>Orders filtered dynamically by ID or date; responsive table layout.</t>
        </is>
      </c>
      <c r="J123" s="7" t="inlineStr">
        <is>
          <t>P2</t>
        </is>
      </c>
      <c r="K123" s="7" t="inlineStr">
        <is>
          <t>Functional</t>
        </is>
      </c>
      <c r="L123" s="7" t="inlineStr">
        <is>
          <t>Buyer</t>
        </is>
      </c>
      <c r="M123" s="7" t="inlineStr">
        <is>
          <t>Desktop</t>
        </is>
      </c>
      <c r="N123" s="7" t="inlineStr">
        <is>
          <t>Not Run</t>
        </is>
      </c>
      <c r="O123" s="6" t="inlineStr"/>
      <c r="P123" s="7" t="inlineStr"/>
      <c r="Q123" s="6" t="inlineStr"/>
      <c r="R123" s="7" t="inlineStr"/>
      <c r="S123" s="6" t="inlineStr">
        <is>
          <t>Order management filtering.</t>
        </is>
      </c>
    </row>
    <row r="124" ht="65" customHeight="1">
      <c r="A124" s="2" t="inlineStr">
        <is>
          <t>ORD-004</t>
        </is>
      </c>
      <c r="B124" s="3" t="inlineStr">
        <is>
          <t>Orders Lifecycle</t>
        </is>
      </c>
      <c r="C124" s="3" t="inlineStr">
        <is>
          <t>/orders/manage-orders</t>
        </is>
      </c>
      <c r="D124" s="3" t="inlineStr">
        <is>
          <t>Buyer Route Alternate</t>
        </is>
      </c>
      <c r="E124" s="3" t="inlineStr">
        <is>
          <t>Verify /orders/manage-orders route compatibility</t>
        </is>
      </c>
      <c r="F124" s="3" t="inlineStr">
        <is>
          <t>Buyer logged in.</t>
        </is>
      </c>
      <c r="G124" s="3" t="inlineStr">
        <is>
          <t>None.</t>
        </is>
      </c>
      <c r="H124" s="3" t="inlineStr">
        <is>
          <t>1. Navigate to /orders/manage-orders.</t>
        </is>
      </c>
      <c r="I124" s="3" t="inlineStr">
        <is>
          <t>Page renders buyer orders view cleanly without 404.</t>
        </is>
      </c>
      <c r="J124" s="4" t="inlineStr">
        <is>
          <t>P3</t>
        </is>
      </c>
      <c r="K124" s="4" t="inlineStr">
        <is>
          <t>Functional</t>
        </is>
      </c>
      <c r="L124" s="4" t="inlineStr">
        <is>
          <t>Buyer</t>
        </is>
      </c>
      <c r="M124" s="4" t="inlineStr">
        <is>
          <t>Desktop</t>
        </is>
      </c>
      <c r="N124" s="4" t="inlineStr">
        <is>
          <t>Not Run</t>
        </is>
      </c>
      <c r="O124" s="3" t="inlineStr"/>
      <c r="P124" s="4" t="inlineStr"/>
      <c r="Q124" s="3" t="inlineStr"/>
      <c r="R124" s="4" t="inlineStr"/>
      <c r="S124" s="3" t="inlineStr">
        <is>
          <t>Alternate route check.</t>
        </is>
      </c>
    </row>
    <row r="125" ht="65" customHeight="1">
      <c r="A125" s="5" t="inlineStr">
        <is>
          <t>ORD-005</t>
        </is>
      </c>
      <c r="B125" s="6" t="inlineStr">
        <is>
          <t>Orders Lifecycle</t>
        </is>
      </c>
      <c r="C125" s="6" t="inlineStr">
        <is>
          <t>/manage-orders</t>
        </is>
      </c>
      <c r="D125" s="6" t="inlineStr">
        <is>
          <t>Seller Manage Orders</t>
        </is>
      </c>
      <c r="E125" s="6" t="inlineStr">
        <is>
          <t>Filter seller orders by status (Active, Delivered, Completed, Disputed, Cancelled)</t>
        </is>
      </c>
      <c r="F125" s="6" t="inlineStr">
        <is>
          <t>Seller logged in with active orders.</t>
        </is>
      </c>
      <c r="G125" s="6" t="inlineStr">
        <is>
          <t>None.</t>
        </is>
      </c>
      <c r="H125" s="6" t="inlineStr">
        <is>
          <t>1. Navigate to /manage-orders.
2. Click each status tab (Active, Delivered, Completed, Disputed, Cancelled).</t>
        </is>
      </c>
      <c r="I125" s="6" t="inlineStr">
        <is>
          <t>Table re-renders with orders matching each status tab; row count corresponds to badge numbers.</t>
        </is>
      </c>
      <c r="J125" s="7" t="inlineStr">
        <is>
          <t>P1</t>
        </is>
      </c>
      <c r="K125" s="7" t="inlineStr">
        <is>
          <t>Functional</t>
        </is>
      </c>
      <c r="L125" s="7" t="inlineStr">
        <is>
          <t>Seller</t>
        </is>
      </c>
      <c r="M125" s="7" t="inlineStr">
        <is>
          <t>Desktop</t>
        </is>
      </c>
      <c r="N125" s="7" t="inlineStr">
        <is>
          <t>Not Run</t>
        </is>
      </c>
      <c r="O125" s="6" t="inlineStr"/>
      <c r="P125" s="7" t="inlineStr"/>
      <c r="Q125" s="6" t="inlineStr"/>
      <c r="R125" s="7" t="inlineStr"/>
      <c r="S125" s="6" t="inlineStr">
        <is>
          <t>Seller order management.</t>
        </is>
      </c>
    </row>
    <row r="126" ht="65" customHeight="1">
      <c r="A126" s="2" t="inlineStr">
        <is>
          <t>ORD-006</t>
        </is>
      </c>
      <c r="B126" s="3" t="inlineStr">
        <is>
          <t>Orders Lifecycle</t>
        </is>
      </c>
      <c r="C126" s="3" t="inlineStr">
        <is>
          <t>/manage-orders</t>
        </is>
      </c>
      <c r="D126" s="3" t="inlineStr">
        <is>
          <t>Non-Seller Redirect</t>
        </is>
      </c>
      <c r="E126" s="3" t="inlineStr">
        <is>
          <t>Verify non-seller buyer attempting /manage-orders is redirected to /dashboard</t>
        </is>
      </c>
      <c r="F126" s="3" t="inlineStr">
        <is>
          <t>Buyer (isSeller: false) logged in.</t>
        </is>
      </c>
      <c r="G126" s="3" t="inlineStr">
        <is>
          <t>None.</t>
        </is>
      </c>
      <c r="H126" s="3" t="inlineStr">
        <is>
          <t>1. Navigate to /manage-orders as buyer.</t>
        </is>
      </c>
      <c r="I126" s="3" t="inlineStr">
        <is>
          <t>Proxy intercepts request; redirects user to /dashboard; access to seller order table blocked.</t>
        </is>
      </c>
      <c r="J126" s="4" t="inlineStr">
        <is>
          <t>P1</t>
        </is>
      </c>
      <c r="K126" s="4" t="inlineStr">
        <is>
          <t>Security</t>
        </is>
      </c>
      <c r="L126" s="4" t="inlineStr">
        <is>
          <t>Buyer</t>
        </is>
      </c>
      <c r="M126" s="4" t="inlineStr">
        <is>
          <t>Desktop</t>
        </is>
      </c>
      <c r="N126" s="4" t="inlineStr">
        <is>
          <t>Not Run</t>
        </is>
      </c>
      <c r="O126" s="3" t="inlineStr"/>
      <c r="P126" s="4" t="inlineStr"/>
      <c r="Q126" s="3" t="inlineStr"/>
      <c r="R126" s="4" t="inlineStr"/>
      <c r="S126" s="3" t="inlineStr">
        <is>
          <t>Seller route protection.</t>
        </is>
      </c>
    </row>
    <row r="127" ht="65" customHeight="1">
      <c r="A127" s="5" t="inlineStr">
        <is>
          <t>ORD-007</t>
        </is>
      </c>
      <c r="B127" s="6" t="inlineStr">
        <is>
          <t>Orders Lifecycle</t>
        </is>
      </c>
      <c r="C127" s="6" t="inlineStr">
        <is>
          <t>/orders/[id]</t>
        </is>
      </c>
      <c r="D127" s="6" t="inlineStr">
        <is>
          <t>Order Workspace Layout</t>
        </is>
      </c>
      <c r="E127" s="6" t="inlineStr">
        <is>
          <t>Verify Order Workspace renders timeline, details, and activity feed</t>
        </is>
      </c>
      <c r="F127" s="6" t="inlineStr">
        <is>
          <t>Active order exists; user is Buyer or Seller of this order.</t>
        </is>
      </c>
      <c r="G127" s="6" t="inlineStr">
        <is>
          <t>Order ID: 'active_order_id'</t>
        </is>
      </c>
      <c r="H127" s="6" t="inlineStr">
        <is>
          <t>1. Navigate to /orders/[id].
2. Inspect timeline steps (Order Placed, Requirements Submitted, In Progress, Delivered, Completed).
3. Inspect right sidebar order details.</t>
        </is>
      </c>
      <c r="I127" s="6" t="inlineStr">
        <is>
          <t>Order workspace renders cleanly; active step highlighted; countdown timer running; total price and package details match purchase.</t>
        </is>
      </c>
      <c r="J127" s="7" t="inlineStr">
        <is>
          <t>P1</t>
        </is>
      </c>
      <c r="K127" s="7" t="inlineStr">
        <is>
          <t>UI</t>
        </is>
      </c>
      <c r="L127" s="7" t="inlineStr">
        <is>
          <t>Buyer / Seller</t>
        </is>
      </c>
      <c r="M127" s="7" t="inlineStr">
        <is>
          <t>Desktop</t>
        </is>
      </c>
      <c r="N127" s="7" t="inlineStr">
        <is>
          <t>Not Run</t>
        </is>
      </c>
      <c r="O127" s="6" t="inlineStr"/>
      <c r="P127" s="7" t="inlineStr"/>
      <c r="Q127" s="6" t="inlineStr"/>
      <c r="R127" s="7" t="inlineStr"/>
      <c r="S127" s="6" t="inlineStr">
        <is>
          <t>Order workspace presentation.</t>
        </is>
      </c>
    </row>
    <row r="128" ht="65" customHeight="1">
      <c r="A128" s="2" t="inlineStr">
        <is>
          <t>ORD-008</t>
        </is>
      </c>
      <c r="B128" s="3" t="inlineStr">
        <is>
          <t>Orders Lifecycle</t>
        </is>
      </c>
      <c r="C128" s="3" t="inlineStr">
        <is>
          <t>/orders/[id]</t>
        </is>
      </c>
      <c r="D128" s="3" t="inlineStr">
        <is>
          <t>Unauthorized User Guard</t>
        </is>
      </c>
      <c r="E128" s="3" t="inlineStr">
        <is>
          <t>Prevent unrelated third-party user from viewing another user's order</t>
        </is>
      </c>
      <c r="F128" s="3" t="inlineStr">
        <is>
          <t>User C logged in; attempts to access order between User A and User B.</t>
        </is>
      </c>
      <c r="G128" s="3" t="inlineStr">
        <is>
          <t>Order ID belonging to other users.</t>
        </is>
      </c>
      <c r="H128" s="3" t="inlineStr">
        <is>
          <t>1. Navigate to /orders/[unrelated_order_id].</t>
        </is>
      </c>
      <c r="I128" s="3" t="inlineStr">
        <is>
          <t>Access denied with HTTP 403 / redirect to /dashboard; error toast 'Unauthorized to view this order'; confidential contract details protected.</t>
        </is>
      </c>
      <c r="J128" s="4" t="inlineStr">
        <is>
          <t>P1</t>
        </is>
      </c>
      <c r="K128" s="4" t="inlineStr">
        <is>
          <t>Security</t>
        </is>
      </c>
      <c r="L128" s="4" t="inlineStr">
        <is>
          <t>Buyer / Seller</t>
        </is>
      </c>
      <c r="M128" s="4" t="inlineStr">
        <is>
          <t>Desktop</t>
        </is>
      </c>
      <c r="N128" s="4" t="inlineStr">
        <is>
          <t>Not Run</t>
        </is>
      </c>
      <c r="O128" s="3" t="inlineStr"/>
      <c r="P128" s="4" t="inlineStr"/>
      <c r="Q128" s="3" t="inlineStr"/>
      <c r="R128" s="4" t="inlineStr"/>
      <c r="S128" s="3" t="inlineStr">
        <is>
          <t>Order privacy &amp; IDOR protection.</t>
        </is>
      </c>
    </row>
    <row r="129" ht="65" customHeight="1">
      <c r="A129" s="5" t="inlineStr">
        <is>
          <t>ORD-009</t>
        </is>
      </c>
      <c r="B129" s="6" t="inlineStr">
        <is>
          <t>Orders Lifecycle</t>
        </is>
      </c>
      <c r="C129" s="6" t="inlineStr">
        <is>
          <t>/orders/[id]</t>
        </is>
      </c>
      <c r="D129" s="6" t="inlineStr">
        <is>
          <t>Seller Deliver Work Modal</t>
        </is>
      </c>
      <c r="E129" s="6" t="inlineStr">
        <is>
          <t>Seller submits final project deliverables with ZIP attachment</t>
        </is>
      </c>
      <c r="F129" s="6" t="inlineStr">
        <is>
          <t>Order status is 'In Progress'; user is the assigned Seller.</t>
        </is>
      </c>
      <c r="G129" s="6" t="inlineStr">
        <is>
          <t>File: test-deliverable.zip (Sample deliverables), Note: 'Completed project with full test suite.'</t>
        </is>
      </c>
      <c r="H129" s="6" t="inlineStr">
        <is>
          <t>1. On /orders/[id], click 'Deliver Work' / 'Deliver Now' button.
2. In delivery modal, type delivery message.
3. Attach test-deliverable.zip.
4. Click 'Send Delivery'.</t>
        </is>
      </c>
      <c r="I129" s="6" t="inlineStr">
        <is>
          <t>File uploads via Cloudinary/CDN; POST /orders/:id/deliver succeeds; order state updates to 'Delivered'; delivery item appears in workspace activity feed.</t>
        </is>
      </c>
      <c r="J129" s="7" t="inlineStr">
        <is>
          <t>P1</t>
        </is>
      </c>
      <c r="K129" s="7" t="inlineStr">
        <is>
          <t>Functional</t>
        </is>
      </c>
      <c r="L129" s="7" t="inlineStr">
        <is>
          <t>Seller</t>
        </is>
      </c>
      <c r="M129" s="7" t="inlineStr">
        <is>
          <t>Desktop</t>
        </is>
      </c>
      <c r="N129" s="7" t="inlineStr">
        <is>
          <t>Not Run</t>
        </is>
      </c>
      <c r="O129" s="6" t="inlineStr"/>
      <c r="P129" s="7" t="inlineStr"/>
      <c r="Q129" s="6" t="inlineStr"/>
      <c r="R129" s="7" t="inlineStr"/>
      <c r="S129" s="6" t="inlineStr">
        <is>
          <t>Work delivery execution.</t>
        </is>
      </c>
    </row>
    <row r="130" ht="65" customHeight="1">
      <c r="A130" s="2" t="inlineStr">
        <is>
          <t>ORD-010</t>
        </is>
      </c>
      <c r="B130" s="3" t="inlineStr">
        <is>
          <t>Orders Lifecycle</t>
        </is>
      </c>
      <c r="C130" s="3" t="inlineStr">
        <is>
          <t>/orders/[id]</t>
        </is>
      </c>
      <c r="D130" s="3" t="inlineStr">
        <is>
          <t>Empty Delivery Validation</t>
        </is>
      </c>
      <c r="E130" s="3" t="inlineStr">
        <is>
          <t>Attempt to submit delivery without message or files</t>
        </is>
      </c>
      <c r="F130" s="3" t="inlineStr">
        <is>
          <t>Seller on delivery modal.</t>
        </is>
      </c>
      <c r="G130" s="3" t="inlineStr">
        <is>
          <t>None.</t>
        </is>
      </c>
      <c r="H130" s="3" t="inlineStr">
        <is>
          <t>1. Open Deliver Work modal.
2. Leave message and file inputs empty.
3. Click 'Send Delivery'.</t>
        </is>
      </c>
      <c r="I130" s="3" t="inlineStr">
        <is>
          <t>Submission blocked; validation alert 'Please provide delivery notes or files'; form remains open.</t>
        </is>
      </c>
      <c r="J130" s="4" t="inlineStr">
        <is>
          <t>P2</t>
        </is>
      </c>
      <c r="K130" s="4" t="inlineStr">
        <is>
          <t>Negative</t>
        </is>
      </c>
      <c r="L130" s="4" t="inlineStr">
        <is>
          <t>Seller</t>
        </is>
      </c>
      <c r="M130" s="4" t="inlineStr">
        <is>
          <t>Desktop</t>
        </is>
      </c>
      <c r="N130" s="4" t="inlineStr">
        <is>
          <t>Not Run</t>
        </is>
      </c>
      <c r="O130" s="3" t="inlineStr"/>
      <c r="P130" s="4" t="inlineStr"/>
      <c r="Q130" s="3" t="inlineStr"/>
      <c r="R130" s="4" t="inlineStr"/>
      <c r="S130" s="3" t="inlineStr">
        <is>
          <t>Delivery validation rules.</t>
        </is>
      </c>
    </row>
    <row r="131" ht="65" customHeight="1">
      <c r="A131" s="5" t="inlineStr">
        <is>
          <t>ORD-011</t>
        </is>
      </c>
      <c r="B131" s="6" t="inlineStr">
        <is>
          <t>Orders Lifecycle</t>
        </is>
      </c>
      <c r="C131" s="6" t="inlineStr">
        <is>
          <t>/orders/[id]</t>
        </is>
      </c>
      <c r="D131" s="6" t="inlineStr">
        <is>
          <t>Buyer Request Revision</t>
        </is>
      </c>
      <c r="E131" s="6" t="inlineStr">
        <is>
          <t>Buyer requests revision on delivered work</t>
        </is>
      </c>
      <c r="F131" s="6" t="inlineStr">
        <is>
          <t>Order status is 'Delivered'; user is the Buyer.</t>
        </is>
      </c>
      <c r="G131" s="6" t="inlineStr">
        <is>
          <t>Revision comments: 'Please adjust color palette on homepage hero section.'</t>
        </is>
      </c>
      <c r="H131" s="6" t="inlineStr">
        <is>
          <t>1. On /orders/[id], locate delivered work section.
2. Click 'Request Revision' button.
3. Enter revision comments in modal textarea.
4. Click 'Submit Revision Request'.</t>
        </is>
      </c>
      <c r="I131" s="6" t="inlineStr">
        <is>
          <t>API dispatches POST /orders/:id/revision; order status updates to 'Revision Requested'; revision notice appears in activity feed; seller notified.</t>
        </is>
      </c>
      <c r="J131" s="7" t="inlineStr">
        <is>
          <t>P1</t>
        </is>
      </c>
      <c r="K131" s="7" t="inlineStr">
        <is>
          <t>Functional</t>
        </is>
      </c>
      <c r="L131" s="7" t="inlineStr">
        <is>
          <t>Buyer</t>
        </is>
      </c>
      <c r="M131" s="7" t="inlineStr">
        <is>
          <t>Desktop</t>
        </is>
      </c>
      <c r="N131" s="7" t="inlineStr">
        <is>
          <t>Not Run</t>
        </is>
      </c>
      <c r="O131" s="6" t="inlineStr"/>
      <c r="P131" s="7" t="inlineStr"/>
      <c r="Q131" s="6" t="inlineStr"/>
      <c r="R131" s="7" t="inlineStr"/>
      <c r="S131" s="6" t="inlineStr">
        <is>
          <t>Order revision workflow.</t>
        </is>
      </c>
    </row>
    <row r="132" ht="65" customHeight="1">
      <c r="A132" s="2" t="inlineStr">
        <is>
          <t>ORD-012</t>
        </is>
      </c>
      <c r="B132" s="3" t="inlineStr">
        <is>
          <t>Orders Lifecycle</t>
        </is>
      </c>
      <c r="C132" s="3" t="inlineStr">
        <is>
          <t>/orders/[id]</t>
        </is>
      </c>
      <c r="D132" s="3" t="inlineStr">
        <is>
          <t>Seller Request Deadline Extension</t>
        </is>
      </c>
      <c r="E132" s="3" t="inlineStr">
        <is>
          <t>Seller requests deadline extension from buyer</t>
        </is>
      </c>
      <c r="F132" s="3" t="inlineStr">
        <is>
          <t>Order status is 'In Progress'; user is the Seller.</t>
        </is>
      </c>
      <c r="G132" s="3" t="inlineStr">
        <is>
          <t>Extra Days: 3, Reason: 'Waiting for buyer asset feedback to finalize build.'</t>
        </is>
      </c>
      <c r="H132" s="3" t="inlineStr">
        <is>
          <t>1. On /orders/[id], click 'Extend Delivery Date' button.
2. Select extra days (3).
3. Fill extension reason.
4. Click 'Send Request'.</t>
        </is>
      </c>
      <c r="I132" s="3" t="inlineStr">
        <is>
          <t>API POST /orders/:id/extend-delivery succeeds; extension card displays in order chat; pending buyer approval.</t>
        </is>
      </c>
      <c r="J132" s="4" t="inlineStr">
        <is>
          <t>P1</t>
        </is>
      </c>
      <c r="K132" s="4" t="inlineStr">
        <is>
          <t>Functional</t>
        </is>
      </c>
      <c r="L132" s="4" t="inlineStr">
        <is>
          <t>Seller</t>
        </is>
      </c>
      <c r="M132" s="4" t="inlineStr">
        <is>
          <t>Desktop</t>
        </is>
      </c>
      <c r="N132" s="4" t="inlineStr">
        <is>
          <t>Not Run</t>
        </is>
      </c>
      <c r="O132" s="3" t="inlineStr"/>
      <c r="P132" s="4" t="inlineStr"/>
      <c r="Q132" s="3" t="inlineStr"/>
      <c r="R132" s="4" t="inlineStr"/>
      <c r="S132" s="3" t="inlineStr">
        <is>
          <t>Deadline extension request.</t>
        </is>
      </c>
    </row>
    <row r="133" ht="65" customHeight="1">
      <c r="A133" s="5" t="inlineStr">
        <is>
          <t>ORD-013</t>
        </is>
      </c>
      <c r="B133" s="6" t="inlineStr">
        <is>
          <t>Orders Lifecycle</t>
        </is>
      </c>
      <c r="C133" s="6" t="inlineStr">
        <is>
          <t>/orders/[id]</t>
        </is>
      </c>
      <c r="D133" s="6" t="inlineStr">
        <is>
          <t>Buyer Accept Deadline Extension</t>
        </is>
      </c>
      <c r="E133" s="6" t="inlineStr">
        <is>
          <t>Buyer accepts seller's deadline extension request</t>
        </is>
      </c>
      <c r="F133" s="6" t="inlineStr">
        <is>
          <t>Pending extension request on /orders/[id]; user is Buyer.</t>
        </is>
      </c>
      <c r="G133" s="6" t="inlineStr">
        <is>
          <t>None.</t>
        </is>
      </c>
      <c r="H133" s="6" t="inlineStr">
        <is>
          <t>1. As buyer on /orders/[id], locate extension request card.
2. Click 'Accept Extension'.</t>
        </is>
      </c>
      <c r="I133" s="6" t="inlineStr">
        <is>
          <t>API updates order deadline (+3 days); order countdown timer recalculates; notification sent to seller.</t>
        </is>
      </c>
      <c r="J133" s="7" t="inlineStr">
        <is>
          <t>P1</t>
        </is>
      </c>
      <c r="K133" s="7" t="inlineStr">
        <is>
          <t>Functional</t>
        </is>
      </c>
      <c r="L133" s="7" t="inlineStr">
        <is>
          <t>Buyer</t>
        </is>
      </c>
      <c r="M133" s="7" t="inlineStr">
        <is>
          <t>Desktop</t>
        </is>
      </c>
      <c r="N133" s="7" t="inlineStr">
        <is>
          <t>Not Run</t>
        </is>
      </c>
      <c r="O133" s="6" t="inlineStr"/>
      <c r="P133" s="7" t="inlineStr"/>
      <c r="Q133" s="6" t="inlineStr"/>
      <c r="R133" s="7" t="inlineStr"/>
      <c r="S133" s="6" t="inlineStr">
        <is>
          <t>Extension acceptance.</t>
        </is>
      </c>
    </row>
    <row r="134" ht="65" customHeight="1">
      <c r="A134" s="2" t="inlineStr">
        <is>
          <t>ORD-014</t>
        </is>
      </c>
      <c r="B134" s="3" t="inlineStr">
        <is>
          <t>Orders Lifecycle</t>
        </is>
      </c>
      <c r="C134" s="3" t="inlineStr">
        <is>
          <t>/orders/[id]</t>
        </is>
      </c>
      <c r="D134" s="3" t="inlineStr">
        <is>
          <t>Buyer Reject Deadline Extension</t>
        </is>
      </c>
      <c r="E134" s="3" t="inlineStr">
        <is>
          <t>Buyer declines seller's deadline extension request</t>
        </is>
      </c>
      <c r="F134" s="3" t="inlineStr">
        <is>
          <t>Pending extension request; user is Buyer.</t>
        </is>
      </c>
      <c r="G134" s="3" t="inlineStr">
        <is>
          <t>None.</t>
        </is>
      </c>
      <c r="H134" s="3" t="inlineStr">
        <is>
          <t>1. As buyer on /orders/[id], locate extension card.
2. Click 'Decline' / 'Reject'.
3. Confirm rejection.</t>
        </is>
      </c>
      <c r="I134" s="3" t="inlineStr">
        <is>
          <t>Extension request status marked 'Rejected'; original delivery deadline remains in effect; seller notified.</t>
        </is>
      </c>
      <c r="J134" s="4" t="inlineStr">
        <is>
          <t>P2</t>
        </is>
      </c>
      <c r="K134" s="4" t="inlineStr">
        <is>
          <t>Functional</t>
        </is>
      </c>
      <c r="L134" s="4" t="inlineStr">
        <is>
          <t>Buyer</t>
        </is>
      </c>
      <c r="M134" s="4" t="inlineStr">
        <is>
          <t>Desktop</t>
        </is>
      </c>
      <c r="N134" s="4" t="inlineStr">
        <is>
          <t>Not Run</t>
        </is>
      </c>
      <c r="O134" s="3" t="inlineStr"/>
      <c r="P134" s="4" t="inlineStr"/>
      <c r="Q134" s="3" t="inlineStr"/>
      <c r="R134" s="4" t="inlineStr"/>
      <c r="S134" s="3" t="inlineStr">
        <is>
          <t>Extension rejection.</t>
        </is>
      </c>
    </row>
    <row r="135" ht="65" customHeight="1">
      <c r="A135" s="5" t="inlineStr">
        <is>
          <t>ORD-015</t>
        </is>
      </c>
      <c r="B135" s="6" t="inlineStr">
        <is>
          <t>Orders Lifecycle</t>
        </is>
      </c>
      <c r="C135" s="6" t="inlineStr">
        <is>
          <t>/orders/[id]</t>
        </is>
      </c>
      <c r="D135" s="6" t="inlineStr">
        <is>
          <t>Buyer Accept Delivery &amp; Complete Order</t>
        </is>
      </c>
      <c r="E135" s="6" t="inlineStr">
        <is>
          <t>Buyer accepts delivery, completing order and releasing escrow funds</t>
        </is>
      </c>
      <c r="F135" s="6" t="inlineStr">
        <is>
          <t>Order status is 'Delivered'; user is Buyer.</t>
        </is>
      </c>
      <c r="G135" s="6" t="inlineStr">
        <is>
          <t>None.</t>
        </is>
      </c>
      <c r="H135" s="6" t="inlineStr">
        <is>
          <t>1. On /orders/[id], review delivered files.
2. Click 'Accept &amp; Complete Order' button.
3. Confirm modal prompt: 'Are you sure? This will release payment to the seller.'</t>
        </is>
      </c>
      <c r="I135" s="6" t="inlineStr">
        <is>
          <t>POST /orders/:id/complete succeeds; order status transitions to 'Completed'; funds released from escrow to seller pending balance; review prompt modal opens.</t>
        </is>
      </c>
      <c r="J135" s="7" t="inlineStr">
        <is>
          <t>P1</t>
        </is>
      </c>
      <c r="K135" s="7" t="inlineStr">
        <is>
          <t>Functional</t>
        </is>
      </c>
      <c r="L135" s="7" t="inlineStr">
        <is>
          <t>Buyer</t>
        </is>
      </c>
      <c r="M135" s="7" t="inlineStr">
        <is>
          <t>Desktop</t>
        </is>
      </c>
      <c r="N135" s="7" t="inlineStr">
        <is>
          <t>Not Run</t>
        </is>
      </c>
      <c r="O135" s="6" t="inlineStr"/>
      <c r="P135" s="7" t="inlineStr"/>
      <c r="Q135" s="6" t="inlineStr"/>
      <c r="R135" s="7" t="inlineStr"/>
      <c r="S135" s="6" t="inlineStr">
        <is>
          <t>Order completion &amp; escrow release.</t>
        </is>
      </c>
    </row>
    <row r="136" ht="65" customHeight="1">
      <c r="A136" s="2" t="inlineStr">
        <is>
          <t>ORD-016</t>
        </is>
      </c>
      <c r="B136" s="3" t="inlineStr">
        <is>
          <t>Orders Lifecycle</t>
        </is>
      </c>
      <c r="C136" s="3" t="inlineStr">
        <is>
          <t>/orders/[id]</t>
        </is>
      </c>
      <c r="D136" s="3" t="inlineStr">
        <is>
          <t>Review &amp; Rating Submission</t>
        </is>
      </c>
      <c r="E136" s="3" t="inlineStr">
        <is>
          <t>Buyer submits 5-star rating and testimonial review</t>
        </is>
      </c>
      <c r="F136" s="3" t="inlineStr">
        <is>
          <t>Order completed; review prompt visible to Buyer.</t>
        </is>
      </c>
      <c r="G136" s="3" t="inlineStr">
        <is>
          <t>Rating: 5 Stars, Review: 'Outstanding developer! Delivered ahead of schedule with clean code.'</t>
        </is>
      </c>
      <c r="H136" s="3" t="inlineStr">
        <is>
          <t>1. In review modal, click the 5th star to select 5-star rating.
2. Type detailed testimonial in review textarea.
3. Click 'Submit Review'.</t>
        </is>
      </c>
      <c r="I136" s="3" t="inlineStr">
        <is>
          <t>POST /reviews succeeds (HTTP 201); review displays on order activity feed and propagates to seller public profile (/seller/[username]) and gig view.</t>
        </is>
      </c>
      <c r="J136" s="4" t="inlineStr">
        <is>
          <t>P1</t>
        </is>
      </c>
      <c r="K136" s="4" t="inlineStr">
        <is>
          <t>Functional</t>
        </is>
      </c>
      <c r="L136" s="4" t="inlineStr">
        <is>
          <t>Buyer</t>
        </is>
      </c>
      <c r="M136" s="4" t="inlineStr">
        <is>
          <t>Desktop</t>
        </is>
      </c>
      <c r="N136" s="4" t="inlineStr">
        <is>
          <t>Not Run</t>
        </is>
      </c>
      <c r="O136" s="3" t="inlineStr"/>
      <c r="P136" s="4" t="inlineStr"/>
      <c r="Q136" s="3" t="inlineStr"/>
      <c r="R136" s="4" t="inlineStr"/>
      <c r="S136" s="3" t="inlineStr">
        <is>
          <t>Rating &amp; review submission.</t>
        </is>
      </c>
    </row>
    <row r="137" ht="65" customHeight="1">
      <c r="A137" s="5" t="inlineStr">
        <is>
          <t>ORD-017</t>
        </is>
      </c>
      <c r="B137" s="6" t="inlineStr">
        <is>
          <t>Orders Lifecycle</t>
        </is>
      </c>
      <c r="C137" s="6" t="inlineStr">
        <is>
          <t>/orders/contact/[id]</t>
        </is>
      </c>
      <c r="D137" s="6" t="inlineStr">
        <is>
          <t>Order Contact &amp; Resolution</t>
        </is>
      </c>
      <c r="E137" s="6" t="inlineStr">
        <is>
          <t>Open dedicated order dispute/contact page</t>
        </is>
      </c>
      <c r="F137" s="6" t="inlineStr">
        <is>
          <t>Active order exists.</t>
        </is>
      </c>
      <c r="G137" s="6" t="inlineStr">
        <is>
          <t>Order ID.</t>
        </is>
      </c>
      <c r="H137" s="6" t="inlineStr">
        <is>
          <t>1. On /orders/[id], click 'Having Issues?' / 'Resolution Center' link.
2. Verify navigation to /orders/contact/[id].</t>
        </is>
      </c>
      <c r="I137" s="6" t="inlineStr">
        <is>
          <t>Page renders dispute resolution options: 'Ask seller for order status', 'Request mutual cancellation', 'Contact Customer Support'.</t>
        </is>
      </c>
      <c r="J137" s="7" t="inlineStr">
        <is>
          <t>P2</t>
        </is>
      </c>
      <c r="K137" s="7" t="inlineStr">
        <is>
          <t>Functional</t>
        </is>
      </c>
      <c r="L137" s="7" t="inlineStr">
        <is>
          <t>Buyer / Seller</t>
        </is>
      </c>
      <c r="M137" s="7" t="inlineStr">
        <is>
          <t>Desktop</t>
        </is>
      </c>
      <c r="N137" s="7" t="inlineStr">
        <is>
          <t>Not Run</t>
        </is>
      </c>
      <c r="O137" s="6" t="inlineStr"/>
      <c r="P137" s="7" t="inlineStr"/>
      <c r="Q137" s="6" t="inlineStr"/>
      <c r="R137" s="7" t="inlineStr"/>
      <c r="S137" s="6" t="inlineStr">
        <is>
          <t>Resolution center navigation.</t>
        </is>
      </c>
    </row>
    <row r="138" ht="65" customHeight="1">
      <c r="A138" s="2" t="inlineStr">
        <is>
          <t>ORD-018</t>
        </is>
      </c>
      <c r="B138" s="3" t="inlineStr">
        <is>
          <t>Orders Lifecycle</t>
        </is>
      </c>
      <c r="C138" s="3" t="inlineStr">
        <is>
          <t>/orders/contact/[id]</t>
        </is>
      </c>
      <c r="D138" s="3" t="inlineStr">
        <is>
          <t>Mutual Cancellation Request</t>
        </is>
      </c>
      <c r="E138" s="3" t="inlineStr">
        <is>
          <t>Buyer or Seller submits mutual order cancellation request</t>
        </is>
      </c>
      <c r="F138" s="3" t="inlineStr">
        <is>
          <t>Order in progress on /orders/contact/[id].</t>
        </is>
      </c>
      <c r="G138" s="3" t="inlineStr">
        <is>
          <t>Reason: 'Mutual agreement due to scope change.'</t>
        </is>
      </c>
      <c r="H138" s="3" t="inlineStr">
        <is>
          <t>1. Select 'Request Order Cancellation'.
2. Select reason and enter explanation.
3. Submit request.</t>
        </is>
      </c>
      <c r="I138" s="3" t="inlineStr">
        <is>
          <t>Cancellation request card appears in order feed; other party receives prompt to Accept or Reject; escrow refunded if accepted.</t>
        </is>
      </c>
      <c r="J138" s="4" t="inlineStr">
        <is>
          <t>P1</t>
        </is>
      </c>
      <c r="K138" s="4" t="inlineStr">
        <is>
          <t>Functional</t>
        </is>
      </c>
      <c r="L138" s="4" t="inlineStr">
        <is>
          <t>Buyer / Seller</t>
        </is>
      </c>
      <c r="M138" s="4" t="inlineStr">
        <is>
          <t>Desktop</t>
        </is>
      </c>
      <c r="N138" s="4" t="inlineStr">
        <is>
          <t>Not Run</t>
        </is>
      </c>
      <c r="O138" s="3" t="inlineStr"/>
      <c r="P138" s="4" t="inlineStr"/>
      <c r="Q138" s="3" t="inlineStr"/>
      <c r="R138" s="4" t="inlineStr"/>
      <c r="S138" s="3" t="inlineStr">
        <is>
          <t>Mutual order cancellation.</t>
        </is>
      </c>
    </row>
    <row r="139" ht="65" customHeight="1">
      <c r="A139" s="5" t="inlineStr">
        <is>
          <t>ORD-019</t>
        </is>
      </c>
      <c r="B139" s="6" t="inlineStr">
        <is>
          <t>Orders Lifecycle</t>
        </is>
      </c>
      <c r="C139" s="6" t="inlineStr">
        <is>
          <t>/how-escrow-works</t>
        </is>
      </c>
      <c r="D139" s="6" t="inlineStr">
        <is>
          <t>Escrow Documentation Page</t>
        </is>
      </c>
      <c r="E139" s="6" t="inlineStr">
        <is>
          <t>Verify Escrow protection documentation page</t>
        </is>
      </c>
      <c r="F139" s="6" t="inlineStr">
        <is>
          <t>None.</t>
        </is>
      </c>
      <c r="G139" s="6" t="inlineStr">
        <is>
          <t>None.</t>
        </is>
      </c>
      <c r="H139" s="6" t="inlineStr">
        <is>
          <t>1. Navigate to /how-escrow-works.
2. Review visual explanation of payment protection stages.</t>
        </is>
      </c>
      <c r="I139" s="6" t="inlineStr">
        <is>
          <t>Page renders clear typography, diagrams of buyer payment protection, delivery validation, and dispute mediation.</t>
        </is>
      </c>
      <c r="J139" s="7" t="inlineStr">
        <is>
          <t>P3</t>
        </is>
      </c>
      <c r="K139" s="7" t="inlineStr">
        <is>
          <t>UI</t>
        </is>
      </c>
      <c r="L139" s="7" t="inlineStr">
        <is>
          <t>Public</t>
        </is>
      </c>
      <c r="M139" s="7" t="inlineStr">
        <is>
          <t>Desktop</t>
        </is>
      </c>
      <c r="N139" s="7" t="inlineStr">
        <is>
          <t>Not Run</t>
        </is>
      </c>
      <c r="O139" s="6" t="inlineStr"/>
      <c r="P139" s="7" t="inlineStr"/>
      <c r="Q139" s="6" t="inlineStr"/>
      <c r="R139" s="7" t="inlineStr"/>
      <c r="S139" s="6" t="inlineStr">
        <is>
          <t>Escrow explanation page.</t>
        </is>
      </c>
    </row>
    <row r="140" ht="65" customHeight="1">
      <c r="A140" s="2" t="inlineStr">
        <is>
          <t>ORD-020</t>
        </is>
      </c>
      <c r="B140" s="3" t="inlineStr">
        <is>
          <t>Orders Lifecycle</t>
        </is>
      </c>
      <c r="C140" s="3" t="inlineStr">
        <is>
          <t>/orders/[id]</t>
        </is>
      </c>
      <c r="D140" s="3" t="inlineStr">
        <is>
          <t>Deliverable File Download</t>
        </is>
      </c>
      <c r="E140" s="3" t="inlineStr">
        <is>
          <t>Buyer downloads attached ZIP deliverable file</t>
        </is>
      </c>
      <c r="F140" s="3" t="inlineStr">
        <is>
          <t>Order delivered with attached file.</t>
        </is>
      </c>
      <c r="G140" s="3" t="inlineStr">
        <is>
          <t>None.</t>
        </is>
      </c>
      <c r="H140" s="3" t="inlineStr">
        <is>
          <t>1. On /orders/[id], locate delivered files attachment link.
2. Click download icon.</t>
        </is>
      </c>
      <c r="I140" s="3" t="inlineStr">
        <is>
          <t>File download initiates from Cloudinary/CDN; downloaded ZIP file is uncorrupted and intact.</t>
        </is>
      </c>
      <c r="J140" s="4" t="inlineStr">
        <is>
          <t>P1</t>
        </is>
      </c>
      <c r="K140" s="4" t="inlineStr">
        <is>
          <t>Functional</t>
        </is>
      </c>
      <c r="L140" s="4" t="inlineStr">
        <is>
          <t>Buyer</t>
        </is>
      </c>
      <c r="M140" s="4" t="inlineStr">
        <is>
          <t>Desktop</t>
        </is>
      </c>
      <c r="N140" s="4" t="inlineStr">
        <is>
          <t>Not Run</t>
        </is>
      </c>
      <c r="O140" s="3" t="inlineStr"/>
      <c r="P140" s="4" t="inlineStr"/>
      <c r="Q140" s="3" t="inlineStr"/>
      <c r="R140" s="4" t="inlineStr"/>
      <c r="S140" s="3" t="inlineStr">
        <is>
          <t>Deliverable file retrieval.</t>
        </is>
      </c>
    </row>
    <row r="141" ht="65" customHeight="1">
      <c r="A141" s="5" t="inlineStr">
        <is>
          <t>ORD-021</t>
        </is>
      </c>
      <c r="B141" s="6" t="inlineStr">
        <is>
          <t>Orders Lifecycle</t>
        </is>
      </c>
      <c r="C141" s="6" t="inlineStr">
        <is>
          <t>/orders/[id]</t>
        </is>
      </c>
      <c r="D141" s="6" t="inlineStr">
        <is>
          <t>Countdown Due Alert Styling</t>
        </is>
      </c>
      <c r="E141" s="6" t="inlineStr">
        <is>
          <t>Verify visual warning alert when order deadline is under 24 hours</t>
        </is>
      </c>
      <c r="F141" s="6" t="inlineStr">
        <is>
          <t>Order with due date within 24 hours.</t>
        </is>
      </c>
      <c r="G141" s="6" t="inlineStr">
        <is>
          <t>None.</t>
        </is>
      </c>
      <c r="H141" s="6" t="inlineStr">
        <is>
          <t>1. Open /orders/[id] for order nearing deadline.
2. Inspect timer badge styling.</t>
        </is>
      </c>
      <c r="I141" s="6" t="inlineStr">
        <is>
          <t>Timer displays in amber/red alert style with warning icon: 'Order due in X hours'; urgency clearly communicated.</t>
        </is>
      </c>
      <c r="J141" s="7" t="inlineStr">
        <is>
          <t>P2</t>
        </is>
      </c>
      <c r="K141" s="7" t="inlineStr">
        <is>
          <t>UI</t>
        </is>
      </c>
      <c r="L141" s="7" t="inlineStr">
        <is>
          <t>Buyer / Seller</t>
        </is>
      </c>
      <c r="M141" s="7" t="inlineStr">
        <is>
          <t>Desktop</t>
        </is>
      </c>
      <c r="N141" s="7" t="inlineStr">
        <is>
          <t>Not Run</t>
        </is>
      </c>
      <c r="O141" s="6" t="inlineStr"/>
      <c r="P141" s="7" t="inlineStr"/>
      <c r="Q141" s="6" t="inlineStr"/>
      <c r="R141" s="7" t="inlineStr"/>
      <c r="S141" s="6" t="inlineStr">
        <is>
          <t>Deadline urgency styling.</t>
        </is>
      </c>
    </row>
    <row r="142" ht="65" customHeight="1">
      <c r="A142" s="2" t="inlineStr">
        <is>
          <t>ORD-022</t>
        </is>
      </c>
      <c r="B142" s="3" t="inlineStr">
        <is>
          <t>Orders Lifecycle</t>
        </is>
      </c>
      <c r="C142" s="3" t="inlineStr">
        <is>
          <t>/orders/[id]</t>
        </is>
      </c>
      <c r="D142" s="3" t="inlineStr">
        <is>
          <t>Completed Order Read-Only State</t>
        </is>
      </c>
      <c r="E142" s="3" t="inlineStr">
        <is>
          <t>Verify completed order disables editing and delivery actions</t>
        </is>
      </c>
      <c r="F142" s="3" t="inlineStr">
        <is>
          <t>Order status is 'Completed'.</t>
        </is>
      </c>
      <c r="G142" s="3" t="inlineStr">
        <is>
          <t>None.</t>
        </is>
      </c>
      <c r="H142" s="3" t="inlineStr">
        <is>
          <t>1. Open completed order on /orders/[id].
2. Verify 'Deliver Work' and 'Request Revision' buttons.</t>
        </is>
      </c>
      <c r="I142" s="3" t="inlineStr">
        <is>
          <t>Action buttons are hidden or disabled; workspace displays 'Order Completed' status banner with final review; contract is immutable.</t>
        </is>
      </c>
      <c r="J142" s="4" t="inlineStr">
        <is>
          <t>P1</t>
        </is>
      </c>
      <c r="K142" s="4" t="inlineStr">
        <is>
          <t>Functional</t>
        </is>
      </c>
      <c r="L142" s="4" t="inlineStr">
        <is>
          <t>Buyer / Seller</t>
        </is>
      </c>
      <c r="M142" s="4" t="inlineStr">
        <is>
          <t>Desktop</t>
        </is>
      </c>
      <c r="N142" s="4" t="inlineStr">
        <is>
          <t>Not Run</t>
        </is>
      </c>
      <c r="O142" s="3" t="inlineStr"/>
      <c r="P142" s="4" t="inlineStr"/>
      <c r="Q142" s="3" t="inlineStr"/>
      <c r="R142" s="4" t="inlineStr"/>
      <c r="S142" s="3" t="inlineStr">
        <is>
          <t>Order completion immutability.</t>
        </is>
      </c>
    </row>
    <row r="143" ht="65" customHeight="1">
      <c r="A143" s="5" t="inlineStr">
        <is>
          <t>MSG-001</t>
        </is>
      </c>
      <c r="B143" s="6" t="inlineStr">
        <is>
          <t>Real-Time Messaging</t>
        </is>
      </c>
      <c r="C143" s="6" t="inlineStr">
        <is>
          <t>/messages</t>
        </is>
      </c>
      <c r="D143" s="6" t="inlineStr">
        <is>
          <t>Chat Inbox Layout</t>
        </is>
      </c>
      <c r="E143" s="6" t="inlineStr">
        <is>
          <t>Verify Messages inbox layout renders conversation sidebar and empty chat placeholder</t>
        </is>
      </c>
      <c r="F143" s="6" t="inlineStr">
        <is>
          <t>User logged in as Buyer or Seller.</t>
        </is>
      </c>
      <c r="G143" s="6" t="inlineStr">
        <is>
          <t>None.</t>
        </is>
      </c>
      <c r="H143" s="6" t="inlineStr">
        <is>
          <t>1. Navigate to /messages.
2. Verify conversation list on left sidebar.
3. Verify main chat pane displays empty state ('Select a conversation to start chatting').</t>
        </is>
      </c>
      <c r="I143" s="6" t="inlineStr">
        <is>
          <t>Chat layout renders cleanly with zero horizontal overflow; search input visible; connection status indicator active.</t>
        </is>
      </c>
      <c r="J143" s="7" t="inlineStr">
        <is>
          <t>P1</t>
        </is>
      </c>
      <c r="K143" s="7" t="inlineStr">
        <is>
          <t>UI</t>
        </is>
      </c>
      <c r="L143" s="7" t="inlineStr">
        <is>
          <t>Buyer / Seller</t>
        </is>
      </c>
      <c r="M143" s="7" t="inlineStr">
        <is>
          <t>Desktop</t>
        </is>
      </c>
      <c r="N143" s="7" t="inlineStr">
        <is>
          <t>Not Run</t>
        </is>
      </c>
      <c r="O143" s="6" t="inlineStr"/>
      <c r="P143" s="7" t="inlineStr"/>
      <c r="Q143" s="6" t="inlineStr"/>
      <c r="R143" s="7" t="inlineStr"/>
      <c r="S143" s="6" t="inlineStr">
        <is>
          <t>Chat inbox presentation.</t>
        </is>
      </c>
    </row>
    <row r="144" ht="65" customHeight="1">
      <c r="A144" s="2" t="inlineStr">
        <is>
          <t>MSG-002</t>
        </is>
      </c>
      <c r="B144" s="3" t="inlineStr">
        <is>
          <t>Real-Time Messaging</t>
        </is>
      </c>
      <c r="C144" s="3" t="inlineStr">
        <is>
          <t>/messages</t>
        </is>
      </c>
      <c r="D144" s="3" t="inlineStr">
        <is>
          <t>Select Conversation Thread</t>
        </is>
      </c>
      <c r="E144" s="3" t="inlineStr">
        <is>
          <t>Select conversation thread from sidebar and load message history</t>
        </is>
      </c>
      <c r="F144" s="3" t="inlineStr">
        <is>
          <t>User has at least one previous conversation.</t>
        </is>
      </c>
      <c r="G144" s="3" t="inlineStr">
        <is>
          <t>None.</t>
        </is>
      </c>
      <c r="H144" s="3" t="inlineStr">
        <is>
          <t>1. On /messages, click on a conversation item in sidebar.
2. Inspect active chat header and message stream.</t>
        </is>
      </c>
      <c r="I144" s="3" t="inlineStr">
        <is>
          <t>Active conversation highlights; other user's avatar, username, and online/offline status display in header; message history renders sequentially.</t>
        </is>
      </c>
      <c r="J144" s="4" t="inlineStr">
        <is>
          <t>P1</t>
        </is>
      </c>
      <c r="K144" s="4" t="inlineStr">
        <is>
          <t>Functional</t>
        </is>
      </c>
      <c r="L144" s="4" t="inlineStr">
        <is>
          <t>Buyer / Seller</t>
        </is>
      </c>
      <c r="M144" s="4" t="inlineStr">
        <is>
          <t>Desktop</t>
        </is>
      </c>
      <c r="N144" s="4" t="inlineStr">
        <is>
          <t>Not Run</t>
        </is>
      </c>
      <c r="O144" s="3" t="inlineStr"/>
      <c r="P144" s="4" t="inlineStr"/>
      <c r="Q144" s="3" t="inlineStr"/>
      <c r="R144" s="4" t="inlineStr"/>
      <c r="S144" s="3" t="inlineStr">
        <is>
          <t>Conversation loading.</t>
        </is>
      </c>
    </row>
    <row r="145" ht="65" customHeight="1">
      <c r="A145" s="5" t="inlineStr">
        <is>
          <t>MSG-003</t>
        </is>
      </c>
      <c r="B145" s="6" t="inlineStr">
        <is>
          <t>Real-Time Messaging</t>
        </is>
      </c>
      <c r="C145" s="6" t="inlineStr">
        <is>
          <t>/messages</t>
        </is>
      </c>
      <c r="D145" s="6" t="inlineStr">
        <is>
          <t>Send Message Real-Time</t>
        </is>
      </c>
      <c r="E145" s="6" t="inlineStr">
        <is>
          <t>Send text message and verify instant delivery via Socket.io without page reload</t>
        </is>
      </c>
      <c r="F145" s="6" t="inlineStr">
        <is>
          <t>Two active browser windows: Buyer on Window 1, Seller on Window 2, in same chat thread.</t>
        </is>
      </c>
      <c r="G145" s="6" t="inlineStr">
        <is>
          <t>Message: 'Hello, testing real-time WebSocket communication.'</t>
        </is>
      </c>
      <c r="H145" s="6" t="inlineStr">
        <is>
          <t>1. In Window 1 (Buyer), type message in chat textarea.
2. Click Send button or press Enter.
3. Observe Window 2 (Seller) immediately.</t>
        </is>
      </c>
      <c r="I145" s="6" t="inlineStr">
        <is>
          <t>Message appears instantly in Buyer window; Window 2 receives message via Socket.io without page reload; timestamp matches; audio chime plays if enabled.</t>
        </is>
      </c>
      <c r="J145" s="7" t="inlineStr">
        <is>
          <t>P1</t>
        </is>
      </c>
      <c r="K145" s="7" t="inlineStr">
        <is>
          <t>Integration</t>
        </is>
      </c>
      <c r="L145" s="7" t="inlineStr">
        <is>
          <t>Buyer / Seller</t>
        </is>
      </c>
      <c r="M145" s="7" t="inlineStr">
        <is>
          <t>Desktop</t>
        </is>
      </c>
      <c r="N145" s="7" t="inlineStr">
        <is>
          <t>Not Run</t>
        </is>
      </c>
      <c r="O145" s="6" t="inlineStr"/>
      <c r="P145" s="7" t="inlineStr"/>
      <c r="Q145" s="6" t="inlineStr"/>
      <c r="R145" s="7" t="inlineStr"/>
      <c r="S145" s="6" t="inlineStr">
        <is>
          <t>Real-time bidirectional chat.</t>
        </is>
      </c>
    </row>
    <row r="146" ht="65" customHeight="1">
      <c r="A146" s="2" t="inlineStr">
        <is>
          <t>MSG-004</t>
        </is>
      </c>
      <c r="B146" s="3" t="inlineStr">
        <is>
          <t>Real-Time Messaging</t>
        </is>
      </c>
      <c r="C146" s="3" t="inlineStr">
        <is>
          <t>/messages</t>
        </is>
      </c>
      <c r="D146" s="3" t="inlineStr">
        <is>
          <t>Send File Attachment</t>
        </is>
      </c>
      <c r="E146" s="3" t="inlineStr">
        <is>
          <t>Attach and send image or PDF in chat thread</t>
        </is>
      </c>
      <c r="F146" s="3" t="inlineStr">
        <is>
          <t>Active chat thread open.</t>
        </is>
      </c>
      <c r="G146" s="3" t="inlineStr">
        <is>
          <t>File: test-cover.png or document.pdf</t>
        </is>
      </c>
      <c r="H146" s="3" t="inlineStr">
        <is>
          <t>1. Click paperclip attachment icon in chat footer.
2. Select valid file.
3. Add optional text message.
4. Click Send.</t>
        </is>
      </c>
      <c r="I146" s="3" t="inlineStr">
        <is>
          <t>File uploads via Cloudinary; attachment bubble renders in chat with thumbnail/icon and file name; clicking downloads/previews file.</t>
        </is>
      </c>
      <c r="J146" s="4" t="inlineStr">
        <is>
          <t>P1</t>
        </is>
      </c>
      <c r="K146" s="4" t="inlineStr">
        <is>
          <t>Functional</t>
        </is>
      </c>
      <c r="L146" s="4" t="inlineStr">
        <is>
          <t>Buyer / Seller</t>
        </is>
      </c>
      <c r="M146" s="4" t="inlineStr">
        <is>
          <t>Desktop</t>
        </is>
      </c>
      <c r="N146" s="4" t="inlineStr">
        <is>
          <t>Not Run</t>
        </is>
      </c>
      <c r="O146" s="3" t="inlineStr"/>
      <c r="P146" s="4" t="inlineStr"/>
      <c r="Q146" s="3" t="inlineStr"/>
      <c r="R146" s="4" t="inlineStr"/>
      <c r="S146" s="3" t="inlineStr">
        <is>
          <t>Chat file attachment.</t>
        </is>
      </c>
    </row>
    <row r="147" ht="65" customHeight="1">
      <c r="A147" s="5" t="inlineStr">
        <is>
          <t>MSG-005</t>
        </is>
      </c>
      <c r="B147" s="6" t="inlineStr">
        <is>
          <t>Real-Time Messaging</t>
        </is>
      </c>
      <c r="C147" s="6" t="inlineStr">
        <is>
          <t>/messages</t>
        </is>
      </c>
      <c r="D147" s="6" t="inlineStr">
        <is>
          <t>Typing Indicator</t>
        </is>
      </c>
      <c r="E147" s="6" t="inlineStr">
        <is>
          <t>Verify 'User is typing...' indicator appears when other party types</t>
        </is>
      </c>
      <c r="F147" s="6" t="inlineStr">
        <is>
          <t>Two browser windows active in same chat thread.</t>
        </is>
      </c>
      <c r="G147" s="6" t="inlineStr">
        <is>
          <t>None.</t>
        </is>
      </c>
      <c r="H147" s="6" t="inlineStr">
        <is>
          <t>1. In Window 1, begin typing in message textarea.
2. Observe Window 2 chat header/footer.</t>
        </is>
      </c>
      <c r="I147" s="6" t="inlineStr">
        <is>
          <t>Window 2 displays animated typing indicator ('[Username] is typing...'); disappears 2 seconds after typing stops.</t>
        </is>
      </c>
      <c r="J147" s="7" t="inlineStr">
        <is>
          <t>P2</t>
        </is>
      </c>
      <c r="K147" s="7" t="inlineStr">
        <is>
          <t>UI</t>
        </is>
      </c>
      <c r="L147" s="7" t="inlineStr">
        <is>
          <t>Buyer / Seller</t>
        </is>
      </c>
      <c r="M147" s="7" t="inlineStr">
        <is>
          <t>Desktop</t>
        </is>
      </c>
      <c r="N147" s="7" t="inlineStr">
        <is>
          <t>Not Run</t>
        </is>
      </c>
      <c r="O147" s="6" t="inlineStr"/>
      <c r="P147" s="7" t="inlineStr"/>
      <c r="Q147" s="6" t="inlineStr"/>
      <c r="R147" s="7" t="inlineStr"/>
      <c r="S147" s="6" t="inlineStr">
        <is>
          <t>Typing indicator WebSocket event.</t>
        </is>
      </c>
    </row>
    <row r="148" ht="65" customHeight="1">
      <c r="A148" s="2" t="inlineStr">
        <is>
          <t>MSG-006</t>
        </is>
      </c>
      <c r="B148" s="3" t="inlineStr">
        <is>
          <t>Real-Time Messaging</t>
        </is>
      </c>
      <c r="C148" s="3" t="inlineStr">
        <is>
          <t>/messages</t>
        </is>
      </c>
      <c r="D148" s="3" t="inlineStr">
        <is>
          <t>Unread Message Badge</t>
        </is>
      </c>
      <c r="E148" s="3" t="inlineStr">
        <is>
          <t>Verify unread badge increments upon receiving message in background thread</t>
        </is>
      </c>
      <c r="F148" s="3" t="inlineStr">
        <is>
          <t>User logged in; message received while on another page or in different thread.</t>
        </is>
      </c>
      <c r="G148" s="3" t="inlineStr">
        <is>
          <t>None.</t>
        </is>
      </c>
      <c r="H148" s="3" t="inlineStr">
        <is>
          <t>1. Send message from User B to User A.
2. Inspect User A's top navigation message icon and sidebar thread item.</t>
        </is>
      </c>
      <c r="I148" s="3" t="inlineStr">
        <is>
          <t>Navbar message icon displays red unread badge with incremented count (+1); sidebar conversation item bolds with unread pill.</t>
        </is>
      </c>
      <c r="J148" s="4" t="inlineStr">
        <is>
          <t>P2</t>
        </is>
      </c>
      <c r="K148" s="4" t="inlineStr">
        <is>
          <t>Functional</t>
        </is>
      </c>
      <c r="L148" s="4" t="inlineStr">
        <is>
          <t>Buyer / Seller</t>
        </is>
      </c>
      <c r="M148" s="4" t="inlineStr">
        <is>
          <t>Desktop</t>
        </is>
      </c>
      <c r="N148" s="4" t="inlineStr">
        <is>
          <t>Not Run</t>
        </is>
      </c>
      <c r="O148" s="3" t="inlineStr"/>
      <c r="P148" s="4" t="inlineStr"/>
      <c r="Q148" s="3" t="inlineStr"/>
      <c r="R148" s="4" t="inlineStr"/>
      <c r="S148" s="3" t="inlineStr">
        <is>
          <t>Unread badge notification.</t>
        </is>
      </c>
    </row>
    <row r="149" ht="65" customHeight="1">
      <c r="A149" s="5" t="inlineStr">
        <is>
          <t>MSG-007</t>
        </is>
      </c>
      <c r="B149" s="6" t="inlineStr">
        <is>
          <t>Real-Time Messaging</t>
        </is>
      </c>
      <c r="C149" s="6" t="inlineStr">
        <is>
          <t>/messages</t>
        </is>
      </c>
      <c r="D149" s="6" t="inlineStr">
        <is>
          <t>Enter vs Shift+Enter Key</t>
        </is>
      </c>
      <c r="E149" s="6" t="inlineStr">
        <is>
          <t>Verify Enter sends message while Shift+Enter creates new line</t>
        </is>
      </c>
      <c r="F149" s="6" t="inlineStr">
        <is>
          <t>Active chat thread open.</t>
        </is>
      </c>
      <c r="G149" s="6" t="inlineStr">
        <is>
          <t>None.</t>
        </is>
      </c>
      <c r="H149" s="6" t="inlineStr">
        <is>
          <t>1. Type 'Line 1'.
2. Press Shift+Enter.
3. Type 'Line 2'.
4. Press Enter.</t>
        </is>
      </c>
      <c r="I149" s="6" t="inlineStr">
        <is>
          <t>Shift+Enter inserts newline in textarea without sending; Enter dispatches the multi-line message.</t>
        </is>
      </c>
      <c r="J149" s="7" t="inlineStr">
        <is>
          <t>P2</t>
        </is>
      </c>
      <c r="K149" s="7" t="inlineStr">
        <is>
          <t>Functional</t>
        </is>
      </c>
      <c r="L149" s="7" t="inlineStr">
        <is>
          <t>Buyer / Seller</t>
        </is>
      </c>
      <c r="M149" s="7" t="inlineStr">
        <is>
          <t>Desktop</t>
        </is>
      </c>
      <c r="N149" s="7" t="inlineStr">
        <is>
          <t>Not Run</t>
        </is>
      </c>
      <c r="O149" s="6" t="inlineStr"/>
      <c r="P149" s="7" t="inlineStr"/>
      <c r="Q149" s="6" t="inlineStr"/>
      <c r="R149" s="7" t="inlineStr"/>
      <c r="S149" s="6" t="inlineStr">
        <is>
          <t>Keyboard shortcut behavior.</t>
        </is>
      </c>
    </row>
    <row r="150" ht="65" customHeight="1">
      <c r="A150" s="2" t="inlineStr">
        <is>
          <t>MSG-008</t>
        </is>
      </c>
      <c r="B150" s="3" t="inlineStr">
        <is>
          <t>Real-Time Messaging</t>
        </is>
      </c>
      <c r="C150" s="3" t="inlineStr">
        <is>
          <t>/messages</t>
        </is>
      </c>
      <c r="D150" s="3" t="inlineStr">
        <is>
          <t>Conversation Search</t>
        </is>
      </c>
      <c r="E150" s="3" t="inlineStr">
        <is>
          <t>Search conversations by participant username</t>
        </is>
      </c>
      <c r="F150" s="3" t="inlineStr">
        <is>
          <t>User has multiple conversations with different users.</t>
        </is>
      </c>
      <c r="G150" s="3" t="inlineStr">
        <is>
          <t>Search: 'seller_pro'</t>
        </is>
      </c>
      <c r="H150" s="3" t="inlineStr">
        <is>
          <t>1. In sidebar conversation search input, type 'seller_pro'.</t>
        </is>
      </c>
      <c r="I150" s="3" t="inlineStr">
        <is>
          <t>Conversation list filters in real-time; only conversations matching username are shown.</t>
        </is>
      </c>
      <c r="J150" s="4" t="inlineStr">
        <is>
          <t>P3</t>
        </is>
      </c>
      <c r="K150" s="4" t="inlineStr">
        <is>
          <t>Functional</t>
        </is>
      </c>
      <c r="L150" s="4" t="inlineStr">
        <is>
          <t>Buyer / Seller</t>
        </is>
      </c>
      <c r="M150" s="4" t="inlineStr">
        <is>
          <t>Desktop</t>
        </is>
      </c>
      <c r="N150" s="4" t="inlineStr">
        <is>
          <t>Not Run</t>
        </is>
      </c>
      <c r="O150" s="3" t="inlineStr"/>
      <c r="P150" s="4" t="inlineStr"/>
      <c r="Q150" s="3" t="inlineStr"/>
      <c r="R150" s="4" t="inlineStr"/>
      <c r="S150" s="3" t="inlineStr">
        <is>
          <t>Chat participant search.</t>
        </is>
      </c>
    </row>
    <row r="151" ht="65" customHeight="1">
      <c r="A151" s="5" t="inlineStr">
        <is>
          <t>MSG-009</t>
        </is>
      </c>
      <c r="B151" s="6" t="inlineStr">
        <is>
          <t>Real-Time Messaging</t>
        </is>
      </c>
      <c r="C151" s="6" t="inlineStr">
        <is>
          <t>/message</t>
        </is>
      </c>
      <c r="D151" s="6" t="inlineStr">
        <is>
          <t>Message Alias Route</t>
        </is>
      </c>
      <c r="E151" s="6" t="inlineStr">
        <is>
          <t>Verify access to /message alternate route</t>
        </is>
      </c>
      <c r="F151" s="6" t="inlineStr">
        <is>
          <t>User logged in.</t>
        </is>
      </c>
      <c r="G151" s="6" t="inlineStr">
        <is>
          <t>None.</t>
        </is>
      </c>
      <c r="H151" s="6" t="inlineStr">
        <is>
          <t>1. Navigate to /message in browser URL bar.</t>
        </is>
      </c>
      <c r="I151" s="6" t="inlineStr">
        <is>
          <t>Application routes to /messages seamlessly without error.</t>
        </is>
      </c>
      <c r="J151" s="7" t="inlineStr">
        <is>
          <t>P3</t>
        </is>
      </c>
      <c r="K151" s="7" t="inlineStr">
        <is>
          <t>Functional</t>
        </is>
      </c>
      <c r="L151" s="7" t="inlineStr">
        <is>
          <t>Buyer / Seller</t>
        </is>
      </c>
      <c r="M151" s="7" t="inlineStr">
        <is>
          <t>Desktop</t>
        </is>
      </c>
      <c r="N151" s="7" t="inlineStr">
        <is>
          <t>Not Run</t>
        </is>
      </c>
      <c r="O151" s="6" t="inlineStr"/>
      <c r="P151" s="7" t="inlineStr"/>
      <c r="Q151" s="6" t="inlineStr"/>
      <c r="R151" s="7" t="inlineStr"/>
      <c r="S151" s="6" t="inlineStr">
        <is>
          <t>Alias route compatibility.</t>
        </is>
      </c>
    </row>
    <row r="152" ht="65" customHeight="1">
      <c r="A152" s="2" t="inlineStr">
        <is>
          <t>MSG-010</t>
        </is>
      </c>
      <c r="B152" s="3" t="inlineStr">
        <is>
          <t>Real-Time Messaging</t>
        </is>
      </c>
      <c r="C152" s="3" t="inlineStr">
        <is>
          <t>/message/[id]</t>
        </is>
      </c>
      <c r="D152" s="3" t="inlineStr">
        <is>
          <t>Direct Conversation Route</t>
        </is>
      </c>
      <c r="E152" s="3" t="inlineStr">
        <is>
          <t>Open direct conversation with specific user via /message/[id]</t>
        </is>
      </c>
      <c r="F152" s="3" t="inlineStr">
        <is>
          <t>User logged in; target user ID exists.</t>
        </is>
      </c>
      <c r="G152" s="3" t="inlineStr">
        <is>
          <t>Target User ID: 'target_user_id'</t>
        </is>
      </c>
      <c r="H152" s="3" t="inlineStr">
        <is>
          <t>1. Navigate directly to /message/[target_user_id].</t>
        </is>
      </c>
      <c r="I152" s="3" t="inlineStr">
        <is>
          <t>Chat opens directly into conversation with target user; preloads history or initializes new thread; active participant loaded in header.</t>
        </is>
      </c>
      <c r="J152" s="4" t="inlineStr">
        <is>
          <t>P1</t>
        </is>
      </c>
      <c r="K152" s="4" t="inlineStr">
        <is>
          <t>Functional</t>
        </is>
      </c>
      <c r="L152" s="4" t="inlineStr">
        <is>
          <t>Buyer / Seller</t>
        </is>
      </c>
      <c r="M152" s="4" t="inlineStr">
        <is>
          <t>Desktop</t>
        </is>
      </c>
      <c r="N152" s="4" t="inlineStr">
        <is>
          <t>Not Run</t>
        </is>
      </c>
      <c r="O152" s="3" t="inlineStr"/>
      <c r="P152" s="4" t="inlineStr"/>
      <c r="Q152" s="3" t="inlineStr"/>
      <c r="R152" s="4" t="inlineStr"/>
      <c r="S152" s="3" t="inlineStr">
        <is>
          <t>Direct chat link.</t>
        </is>
      </c>
    </row>
    <row r="153" ht="65" customHeight="1">
      <c r="A153" s="5" t="inlineStr">
        <is>
          <t>MSG-011</t>
        </is>
      </c>
      <c r="B153" s="6" t="inlineStr">
        <is>
          <t>Real-Time Messaging</t>
        </is>
      </c>
      <c r="C153" s="6" t="inlineStr">
        <is>
          <t>/messages</t>
        </is>
      </c>
      <c r="D153" s="6" t="inlineStr">
        <is>
          <t>Empty Message Validation</t>
        </is>
      </c>
      <c r="E153" s="6" t="inlineStr">
        <is>
          <t>Attempt to send whitespace-only or empty message</t>
        </is>
      </c>
      <c r="F153" s="6" t="inlineStr">
        <is>
          <t>Active chat open.</t>
        </is>
      </c>
      <c r="G153" s="6" t="inlineStr">
        <is>
          <t>Input: '   ' (Spaces only)</t>
        </is>
      </c>
      <c r="H153" s="6" t="inlineStr">
        <is>
          <t>1. Enter spaces only in message input.
2. Press Enter or click Send.</t>
        </is>
      </c>
      <c r="I153" s="6" t="inlineStr">
        <is>
          <t>Message is not sent; no empty bubble created; no network request dispatched.</t>
        </is>
      </c>
      <c r="J153" s="7" t="inlineStr">
        <is>
          <t>P3</t>
        </is>
      </c>
      <c r="K153" s="7" t="inlineStr">
        <is>
          <t>Boundary</t>
        </is>
      </c>
      <c r="L153" s="7" t="inlineStr">
        <is>
          <t>Buyer / Seller</t>
        </is>
      </c>
      <c r="M153" s="7" t="inlineStr">
        <is>
          <t>Desktop</t>
        </is>
      </c>
      <c r="N153" s="7" t="inlineStr">
        <is>
          <t>Not Run</t>
        </is>
      </c>
      <c r="O153" s="6" t="inlineStr"/>
      <c r="P153" s="7" t="inlineStr"/>
      <c r="Q153" s="6" t="inlineStr"/>
      <c r="R153" s="7" t="inlineStr"/>
      <c r="S153" s="6" t="inlineStr">
        <is>
          <t>Empty message prevention.</t>
        </is>
      </c>
    </row>
    <row r="154" ht="65" customHeight="1">
      <c r="A154" s="2" t="inlineStr">
        <is>
          <t>MSG-012</t>
        </is>
      </c>
      <c r="B154" s="3" t="inlineStr">
        <is>
          <t>Real-Time Messaging</t>
        </is>
      </c>
      <c r="C154" s="3" t="inlineStr">
        <is>
          <t>/messages</t>
        </is>
      </c>
      <c r="D154" s="3" t="inlineStr">
        <is>
          <t>Long Message Boundary</t>
        </is>
      </c>
      <c r="E154" s="3" t="inlineStr">
        <is>
          <t>Send long message exceeding 2000 characters</t>
        </is>
      </c>
      <c r="F154" s="3" t="inlineStr">
        <is>
          <t>Active chat open.</t>
        </is>
      </c>
      <c r="G154" s="3" t="inlineStr">
        <is>
          <t>Long text string (2500 characters).</t>
        </is>
      </c>
      <c r="H154" s="3" t="inlineStr">
        <is>
          <t>1. Paste 2500 character text into chat.
2. Send message.</t>
        </is>
      </c>
      <c r="I154" s="3" t="inlineStr">
        <is>
          <t>Message bubble wraps text cleanly without breaking chat container; scrollbar appears; text fully readable.</t>
        </is>
      </c>
      <c r="J154" s="4" t="inlineStr">
        <is>
          <t>P2</t>
        </is>
      </c>
      <c r="K154" s="4" t="inlineStr">
        <is>
          <t>Boundary</t>
        </is>
      </c>
      <c r="L154" s="4" t="inlineStr">
        <is>
          <t>Buyer / Seller</t>
        </is>
      </c>
      <c r="M154" s="4" t="inlineStr">
        <is>
          <t>Desktop</t>
        </is>
      </c>
      <c r="N154" s="4" t="inlineStr">
        <is>
          <t>Not Run</t>
        </is>
      </c>
      <c r="O154" s="3" t="inlineStr"/>
      <c r="P154" s="4" t="inlineStr"/>
      <c r="Q154" s="3" t="inlineStr"/>
      <c r="R154" s="4" t="inlineStr"/>
      <c r="S154" s="3" t="inlineStr">
        <is>
          <t>Message length &amp; overflow.</t>
        </is>
      </c>
    </row>
    <row r="155" ht="65" customHeight="1">
      <c r="A155" s="5" t="inlineStr">
        <is>
          <t>MSG-013</t>
        </is>
      </c>
      <c r="B155" s="6" t="inlineStr">
        <is>
          <t>Real-Time Messaging</t>
        </is>
      </c>
      <c r="C155" s="6" t="inlineStr">
        <is>
          <t>/messages</t>
        </is>
      </c>
      <c r="D155" s="6" t="inlineStr">
        <is>
          <t>Offline Message Persistence</t>
        </is>
      </c>
      <c r="E155" s="6" t="inlineStr">
        <is>
          <t>Send message when recipient is offline</t>
        </is>
      </c>
      <c r="F155" s="6" t="inlineStr">
        <is>
          <t>Recipient user is logged out.</t>
        </is>
      </c>
      <c r="G155" s="6" t="inlineStr">
        <is>
          <t>Message: 'Offline delivery test.'</t>
        </is>
      </c>
      <c r="H155" s="6" t="inlineStr">
        <is>
          <t>1. Sender sends message to offline recipient.
2. Recipient logs in later and opens /messages.</t>
        </is>
      </c>
      <c r="I155" s="6" t="inlineStr">
        <is>
          <t>Message is persisted in backend database; appears in recipient's message history upon login with correct timestamp.</t>
        </is>
      </c>
      <c r="J155" s="7" t="inlineStr">
        <is>
          <t>P1</t>
        </is>
      </c>
      <c r="K155" s="7" t="inlineStr">
        <is>
          <t>Integration</t>
        </is>
      </c>
      <c r="L155" s="7" t="inlineStr">
        <is>
          <t>Buyer / Seller</t>
        </is>
      </c>
      <c r="M155" s="7" t="inlineStr">
        <is>
          <t>Desktop</t>
        </is>
      </c>
      <c r="N155" s="7" t="inlineStr">
        <is>
          <t>Not Run</t>
        </is>
      </c>
      <c r="O155" s="6" t="inlineStr"/>
      <c r="P155" s="7" t="inlineStr"/>
      <c r="Q155" s="6" t="inlineStr"/>
      <c r="R155" s="7" t="inlineStr"/>
      <c r="S155" s="6" t="inlineStr">
        <is>
          <t>Message persistence.</t>
        </is>
      </c>
    </row>
    <row r="156" ht="65" customHeight="1">
      <c r="A156" s="2" t="inlineStr">
        <is>
          <t>MSG-014</t>
        </is>
      </c>
      <c r="B156" s="3" t="inlineStr">
        <is>
          <t>Real-Time Messaging</t>
        </is>
      </c>
      <c r="C156" s="3" t="inlineStr">
        <is>
          <t>/messages</t>
        </is>
      </c>
      <c r="D156" s="3" t="inlineStr">
        <is>
          <t>XSS Attack Mitigation in Chat</t>
        </is>
      </c>
      <c r="E156" s="3" t="inlineStr">
        <is>
          <t>Send HTML/JavaScript injection payload in chat message</t>
        </is>
      </c>
      <c r="F156" s="3" t="inlineStr">
        <is>
          <t>Active chat open.</t>
        </is>
      </c>
      <c r="G156" s="3" t="inlineStr">
        <is>
          <t>Payload: &lt;script&gt;alert('XSS_CHAT')&lt;/script&gt;</t>
        </is>
      </c>
      <c r="H156" s="3" t="inlineStr">
        <is>
          <t>1. Send payload in chat.
2. Inspect rendered bubble.</t>
        </is>
      </c>
      <c r="I156" s="3" t="inlineStr">
        <is>
          <t>Text renders as harmless plain text '&lt;script&gt;alert('XSS_CHAT')&lt;/script&gt;'; no script executes; no modal alert triggers.</t>
        </is>
      </c>
      <c r="J156" s="4" t="inlineStr">
        <is>
          <t>P1</t>
        </is>
      </c>
      <c r="K156" s="4" t="inlineStr">
        <is>
          <t>Security</t>
        </is>
      </c>
      <c r="L156" s="4" t="inlineStr">
        <is>
          <t>Buyer / Seller</t>
        </is>
      </c>
      <c r="M156" s="4" t="inlineStr">
        <is>
          <t>Desktop</t>
        </is>
      </c>
      <c r="N156" s="4" t="inlineStr">
        <is>
          <t>Not Run</t>
        </is>
      </c>
      <c r="O156" s="3" t="inlineStr"/>
      <c r="P156" s="4" t="inlineStr"/>
      <c r="Q156" s="3" t="inlineStr"/>
      <c r="R156" s="4" t="inlineStr"/>
      <c r="S156" s="3" t="inlineStr">
        <is>
          <t>Chat XSS sanitation.</t>
        </is>
      </c>
    </row>
    <row r="157" ht="65" customHeight="1">
      <c r="A157" s="5" t="inlineStr">
        <is>
          <t>MSG-015</t>
        </is>
      </c>
      <c r="B157" s="6" t="inlineStr">
        <is>
          <t>Real-Time Messaging</t>
        </is>
      </c>
      <c r="C157" s="6" t="inlineStr">
        <is>
          <t>/messages</t>
        </is>
      </c>
      <c r="D157" s="6" t="inlineStr">
        <is>
          <t>Guest Access Restriction</t>
        </is>
      </c>
      <c r="E157" s="6" t="inlineStr">
        <is>
          <t>Attempt to access /messages as unauthenticated Guest</t>
        </is>
      </c>
      <c r="F157" s="6" t="inlineStr">
        <is>
          <t>User logged out.</t>
        </is>
      </c>
      <c r="G157" s="6" t="inlineStr">
        <is>
          <t>None.</t>
        </is>
      </c>
      <c r="H157" s="6" t="inlineStr">
        <is>
          <t>1. Navigate to /messages.</t>
        </is>
      </c>
      <c r="I157" s="6" t="inlineStr">
        <is>
          <t>Proxy intercepts request; redirects user to /login?redirect=/messages; chat interface completely protected.</t>
        </is>
      </c>
      <c r="J157" s="7" t="inlineStr">
        <is>
          <t>P1</t>
        </is>
      </c>
      <c r="K157" s="7" t="inlineStr">
        <is>
          <t>Security</t>
        </is>
      </c>
      <c r="L157" s="7" t="inlineStr">
        <is>
          <t>Guest</t>
        </is>
      </c>
      <c r="M157" s="7" t="inlineStr">
        <is>
          <t>Desktop</t>
        </is>
      </c>
      <c r="N157" s="7" t="inlineStr">
        <is>
          <t>Not Run</t>
        </is>
      </c>
      <c r="O157" s="6" t="inlineStr"/>
      <c r="P157" s="7" t="inlineStr"/>
      <c r="Q157" s="6" t="inlineStr"/>
      <c r="R157" s="7" t="inlineStr"/>
      <c r="S157" s="6" t="inlineStr">
        <is>
          <t>Guest chat route protection.</t>
        </is>
      </c>
    </row>
    <row r="158" ht="65" customHeight="1">
      <c r="A158" s="2" t="inlineStr">
        <is>
          <t>MSG-016</t>
        </is>
      </c>
      <c r="B158" s="3" t="inlineStr">
        <is>
          <t>Real-Time Messaging</t>
        </is>
      </c>
      <c r="C158" s="3" t="inlineStr">
        <is>
          <t>/messages</t>
        </is>
      </c>
      <c r="D158" s="3" t="inlineStr">
        <is>
          <t>Socket Disconnect Reconnect</t>
        </is>
      </c>
      <c r="E158" s="3" t="inlineStr">
        <is>
          <t>Verify automatic socket reconnection after network disruption</t>
        </is>
      </c>
      <c r="F158" s="3" t="inlineStr">
        <is>
          <t>Active chat session open.</t>
        </is>
      </c>
      <c r="G158" s="3" t="inlineStr">
        <is>
          <t>None.</t>
        </is>
      </c>
      <c r="H158" s="3" t="inlineStr">
        <is>
          <t>1. Temporarily toggle browser DevTools Network offline, then online.
2. Send a new message.</t>
        </is>
      </c>
      <c r="I158" s="3" t="inlineStr">
        <is>
          <t>Socket automatically reconnects; status badge returns to 'Online'; message sends successfully after reconnection.</t>
        </is>
      </c>
      <c r="J158" s="4" t="inlineStr">
        <is>
          <t>P2</t>
        </is>
      </c>
      <c r="K158" s="4" t="inlineStr">
        <is>
          <t>Integration</t>
        </is>
      </c>
      <c r="L158" s="4" t="inlineStr">
        <is>
          <t>Buyer / Seller</t>
        </is>
      </c>
      <c r="M158" s="4" t="inlineStr">
        <is>
          <t>Desktop</t>
        </is>
      </c>
      <c r="N158" s="4" t="inlineStr">
        <is>
          <t>Not Run</t>
        </is>
      </c>
      <c r="O158" s="3" t="inlineStr"/>
      <c r="P158" s="4" t="inlineStr"/>
      <c r="Q158" s="3" t="inlineStr"/>
      <c r="R158" s="4" t="inlineStr"/>
      <c r="S158" s="3" t="inlineStr">
        <is>
          <t>WebSocket auto-reconnect.</t>
        </is>
      </c>
    </row>
    <row r="159" ht="65" customHeight="1">
      <c r="A159" s="5" t="inlineStr">
        <is>
          <t>SUP-001</t>
        </is>
      </c>
      <c r="B159" s="6" t="inlineStr">
        <is>
          <t>Support &amp; Help</t>
        </is>
      </c>
      <c r="C159" s="6" t="inlineStr">
        <is>
          <t>/support</t>
        </is>
      </c>
      <c r="D159" s="6" t="inlineStr">
        <is>
          <t>Support Tickets List</t>
        </is>
      </c>
      <c r="E159" s="6" t="inlineStr">
        <is>
          <t>View user submitted support tickets on /support</t>
        </is>
      </c>
      <c r="F159" s="6" t="inlineStr">
        <is>
          <t>User logged in with ticket history.</t>
        </is>
      </c>
      <c r="G159" s="6" t="inlineStr">
        <is>
          <t>None.</t>
        </is>
      </c>
      <c r="H159" s="6" t="inlineStr">
        <is>
          <t>1. Navigate to /support.
2. Inspect tickets table (Ticket ID, Subject, Category, Priority, Status, Last Updated).
3. Click on a ticket row.</t>
        </is>
      </c>
      <c r="I159" s="6" t="inlineStr">
        <is>
          <t>Tickets load from /api/support; status pills (Open, In Progress, Resolved, Closed) render; clicking a ticket opens /support/[id].</t>
        </is>
      </c>
      <c r="J159" s="7" t="inlineStr">
        <is>
          <t>P1</t>
        </is>
      </c>
      <c r="K159" s="7" t="inlineStr">
        <is>
          <t>Functional</t>
        </is>
      </c>
      <c r="L159" s="7" t="inlineStr">
        <is>
          <t>Buyer / Seller</t>
        </is>
      </c>
      <c r="M159" s="7" t="inlineStr">
        <is>
          <t>Desktop</t>
        </is>
      </c>
      <c r="N159" s="7" t="inlineStr">
        <is>
          <t>Not Run</t>
        </is>
      </c>
      <c r="O159" s="6" t="inlineStr"/>
      <c r="P159" s="7" t="inlineStr"/>
      <c r="Q159" s="6" t="inlineStr"/>
      <c r="R159" s="7" t="inlineStr"/>
      <c r="S159" s="6" t="inlineStr">
        <is>
          <t>Support tickets list.</t>
        </is>
      </c>
    </row>
    <row r="160" ht="65" customHeight="1">
      <c r="A160" s="2" t="inlineStr">
        <is>
          <t>SUP-002</t>
        </is>
      </c>
      <c r="B160" s="3" t="inlineStr">
        <is>
          <t>Support &amp; Help</t>
        </is>
      </c>
      <c r="C160" s="3" t="inlineStr">
        <is>
          <t>/support</t>
        </is>
      </c>
      <c r="D160" s="3" t="inlineStr">
        <is>
          <t>Empty Support Tickets State</t>
        </is>
      </c>
      <c r="E160" s="3" t="inlineStr">
        <is>
          <t>Verify empty state on /support for new user</t>
        </is>
      </c>
      <c r="F160" s="3" t="inlineStr">
        <is>
          <t>New user with no previous tickets.</t>
        </is>
      </c>
      <c r="G160" s="3" t="inlineStr">
        <is>
          <t>None.</t>
        </is>
      </c>
      <c r="H160" s="3" t="inlineStr">
        <is>
          <t>1. Navigate to /support.
2. Inspect view.</t>
        </is>
      </c>
      <c r="I160" s="3" t="inlineStr">
        <is>
          <t>Displays friendly empty placeholder ('No support tickets found') with 'Create New Ticket' CTA button.</t>
        </is>
      </c>
      <c r="J160" s="4" t="inlineStr">
        <is>
          <t>P3</t>
        </is>
      </c>
      <c r="K160" s="4" t="inlineStr">
        <is>
          <t>UI</t>
        </is>
      </c>
      <c r="L160" s="4" t="inlineStr">
        <is>
          <t>Buyer / Seller</t>
        </is>
      </c>
      <c r="M160" s="4" t="inlineStr">
        <is>
          <t>Desktop</t>
        </is>
      </c>
      <c r="N160" s="4" t="inlineStr">
        <is>
          <t>Not Run</t>
        </is>
      </c>
      <c r="O160" s="3" t="inlineStr"/>
      <c r="P160" s="4" t="inlineStr"/>
      <c r="Q160" s="3" t="inlineStr"/>
      <c r="R160" s="4" t="inlineStr"/>
      <c r="S160" s="3" t="inlineStr">
        <is>
          <t>Support empty state.</t>
        </is>
      </c>
    </row>
    <row r="161" ht="65" customHeight="1">
      <c r="A161" s="5" t="inlineStr">
        <is>
          <t>SUP-003</t>
        </is>
      </c>
      <c r="B161" s="6" t="inlineStr">
        <is>
          <t>Support &amp; Help</t>
        </is>
      </c>
      <c r="C161" s="6" t="inlineStr">
        <is>
          <t>/support/new</t>
        </is>
      </c>
      <c r="D161" s="6" t="inlineStr">
        <is>
          <t>Create Ticket Form Layout</t>
        </is>
      </c>
      <c r="E161" s="6" t="inlineStr">
        <is>
          <t>Verify Create Support Ticket form fields and layout</t>
        </is>
      </c>
      <c r="F161" s="6" t="inlineStr">
        <is>
          <t>User logged in.</t>
        </is>
      </c>
      <c r="G161" s="6" t="inlineStr">
        <is>
          <t>None.</t>
        </is>
      </c>
      <c r="H161" s="6" t="inlineStr">
        <is>
          <t>1. Navigate to /support/new.
2. Inspect Subject, Category dropdown, Priority selector, Description textarea, File Upload, Submit CTA.</t>
        </is>
      </c>
      <c r="I161" s="6" t="inlineStr">
        <is>
          <t>Form renders with all input fields; categories include Order Dispute, Payment Issue, Technical Problem, Account Inquiry.</t>
        </is>
      </c>
      <c r="J161" s="7" t="inlineStr">
        <is>
          <t>P1</t>
        </is>
      </c>
      <c r="K161" s="7" t="inlineStr">
        <is>
          <t>UI</t>
        </is>
      </c>
      <c r="L161" s="7" t="inlineStr">
        <is>
          <t>Buyer / Seller</t>
        </is>
      </c>
      <c r="M161" s="7" t="inlineStr">
        <is>
          <t>Desktop</t>
        </is>
      </c>
      <c r="N161" s="7" t="inlineStr">
        <is>
          <t>Not Run</t>
        </is>
      </c>
      <c r="O161" s="6" t="inlineStr"/>
      <c r="P161" s="7" t="inlineStr"/>
      <c r="Q161" s="6" t="inlineStr"/>
      <c r="R161" s="7" t="inlineStr"/>
      <c r="S161" s="6" t="inlineStr">
        <is>
          <t>Ticket form presentation.</t>
        </is>
      </c>
    </row>
    <row r="162" ht="65" customHeight="1">
      <c r="A162" s="2" t="inlineStr">
        <is>
          <t>SUP-004</t>
        </is>
      </c>
      <c r="B162" s="3" t="inlineStr">
        <is>
          <t>Support &amp; Help</t>
        </is>
      </c>
      <c r="C162" s="3" t="inlineStr">
        <is>
          <t>/support/new</t>
        </is>
      </c>
      <c r="D162" s="3" t="inlineStr">
        <is>
          <t>Create Ticket Submission</t>
        </is>
      </c>
      <c r="E162" s="3" t="inlineStr">
        <is>
          <t>Submit new support ticket with attachment</t>
        </is>
      </c>
      <c r="F162" s="3" t="inlineStr">
        <is>
          <t>User on /support/new.</t>
        </is>
      </c>
      <c r="G162" s="3" t="inlineStr">
        <is>
          <t>Subject: 'Payment discrepancy on order #1234', Category: 'Payment Issue', Priority: 'High', File: screenshot.png</t>
        </is>
      </c>
      <c r="H162" s="3" t="inlineStr">
        <is>
          <t>1. Fill all ticket fields.
2. Attach screenshot image.
3. Click 'Submit Ticket'.</t>
        </is>
      </c>
      <c r="I162" s="3" t="inlineStr">
        <is>
          <t>POST /api/support succeeds; ticket created with unique ticket ID; user redirected to ticket discussion thread /support/[id] with confirmation toast.</t>
        </is>
      </c>
      <c r="J162" s="4" t="inlineStr">
        <is>
          <t>P1</t>
        </is>
      </c>
      <c r="K162" s="4" t="inlineStr">
        <is>
          <t>Functional</t>
        </is>
      </c>
      <c r="L162" s="4" t="inlineStr">
        <is>
          <t>Buyer / Seller</t>
        </is>
      </c>
      <c r="M162" s="4" t="inlineStr">
        <is>
          <t>Desktop</t>
        </is>
      </c>
      <c r="N162" s="4" t="inlineStr">
        <is>
          <t>Not Run</t>
        </is>
      </c>
      <c r="O162" s="3" t="inlineStr"/>
      <c r="P162" s="4" t="inlineStr"/>
      <c r="Q162" s="3" t="inlineStr"/>
      <c r="R162" s="4" t="inlineStr"/>
      <c r="S162" s="3" t="inlineStr">
        <is>
          <t>Support ticket creation.</t>
        </is>
      </c>
    </row>
    <row r="163" ht="65" customHeight="1">
      <c r="A163" s="5" t="inlineStr">
        <is>
          <t>SUP-005</t>
        </is>
      </c>
      <c r="B163" s="6" t="inlineStr">
        <is>
          <t>Support &amp; Help</t>
        </is>
      </c>
      <c r="C163" s="6" t="inlineStr">
        <is>
          <t>/support/new</t>
        </is>
      </c>
      <c r="D163" s="6" t="inlineStr">
        <is>
          <t>Ticket Validation Errors</t>
        </is>
      </c>
      <c r="E163" s="6" t="inlineStr">
        <is>
          <t>Attempt ticket submission with blank subject and description</t>
        </is>
      </c>
      <c r="F163" s="6" t="inlineStr">
        <is>
          <t>User on /support/new.</t>
        </is>
      </c>
      <c r="G163" s="6" t="inlineStr">
        <is>
          <t>Subject: '', Description: ''</t>
        </is>
      </c>
      <c r="H163" s="6" t="inlineStr">
        <is>
          <t>1. Leave required fields blank.
2. Click Submit Ticket.</t>
        </is>
      </c>
      <c r="I163" s="6" t="inlineStr">
        <is>
          <t>Submission blocked; validation errors highlight 'Subject is required' and 'Please provide a detailed description'; no network call.</t>
        </is>
      </c>
      <c r="J163" s="7" t="inlineStr">
        <is>
          <t>P2</t>
        </is>
      </c>
      <c r="K163" s="7" t="inlineStr">
        <is>
          <t>Negative</t>
        </is>
      </c>
      <c r="L163" s="7" t="inlineStr">
        <is>
          <t>Buyer / Seller</t>
        </is>
      </c>
      <c r="M163" s="7" t="inlineStr">
        <is>
          <t>Desktop</t>
        </is>
      </c>
      <c r="N163" s="7" t="inlineStr">
        <is>
          <t>Not Run</t>
        </is>
      </c>
      <c r="O163" s="6" t="inlineStr"/>
      <c r="P163" s="7" t="inlineStr"/>
      <c r="Q163" s="6" t="inlineStr"/>
      <c r="R163" s="7" t="inlineStr"/>
      <c r="S163" s="6" t="inlineStr">
        <is>
          <t>Ticket form validation.</t>
        </is>
      </c>
    </row>
    <row r="164" ht="65" customHeight="1">
      <c r="A164" s="2" t="inlineStr">
        <is>
          <t>SUP-006</t>
        </is>
      </c>
      <c r="B164" s="3" t="inlineStr">
        <is>
          <t>Support &amp; Help</t>
        </is>
      </c>
      <c r="C164" s="3" t="inlineStr">
        <is>
          <t>/support/[id]</t>
        </is>
      </c>
      <c r="D164" s="3" t="inlineStr">
        <is>
          <t>Support Discussion Thread</t>
        </is>
      </c>
      <c r="E164" s="3" t="inlineStr">
        <is>
          <t>View ticket discussion thread and agent responses</t>
        </is>
      </c>
      <c r="F164" s="3" t="inlineStr">
        <is>
          <t>Ticket exists; user is ticket author.</t>
        </is>
      </c>
      <c r="G164" s="3" t="inlineStr">
        <is>
          <t>Ticket ID.</t>
        </is>
      </c>
      <c r="H164" s="3" t="inlineStr">
        <is>
          <t>1. Navigate to /support/[id].
2. Inspect ticket metadata card on right, message timeline on left.</t>
        </is>
      </c>
      <c r="I164" s="3" t="inlineStr">
        <is>
          <t>Original ticket description and replies display chronologically; support agent replies clearly distinguished with agent badge.</t>
        </is>
      </c>
      <c r="J164" s="4" t="inlineStr">
        <is>
          <t>P1</t>
        </is>
      </c>
      <c r="K164" s="4" t="inlineStr">
        <is>
          <t>Functional</t>
        </is>
      </c>
      <c r="L164" s="4" t="inlineStr">
        <is>
          <t>Buyer / Seller</t>
        </is>
      </c>
      <c r="M164" s="4" t="inlineStr">
        <is>
          <t>Desktop</t>
        </is>
      </c>
      <c r="N164" s="4" t="inlineStr">
        <is>
          <t>Not Run</t>
        </is>
      </c>
      <c r="O164" s="3" t="inlineStr"/>
      <c r="P164" s="4" t="inlineStr"/>
      <c r="Q164" s="3" t="inlineStr"/>
      <c r="R164" s="4" t="inlineStr"/>
      <c r="S164" s="3" t="inlineStr">
        <is>
          <t>Ticket thread view.</t>
        </is>
      </c>
    </row>
    <row r="165" ht="65" customHeight="1">
      <c r="A165" s="5" t="inlineStr">
        <is>
          <t>SUP-007</t>
        </is>
      </c>
      <c r="B165" s="6" t="inlineStr">
        <is>
          <t>Support &amp; Help</t>
        </is>
      </c>
      <c r="C165" s="6" t="inlineStr">
        <is>
          <t>/support/[id]</t>
        </is>
      </c>
      <c r="D165" s="6" t="inlineStr">
        <is>
          <t>Reply to Support Ticket</t>
        </is>
      </c>
      <c r="E165" s="6" t="inlineStr">
        <is>
          <t>Submit message reply in ticket discussion thread via support socket</t>
        </is>
      </c>
      <c r="F165" s="6" t="inlineStr">
        <is>
          <t>Open ticket on /support/[id].</t>
        </is>
      </c>
      <c r="G165" s="6" t="inlineStr">
        <is>
          <t>Reply: 'Here is the additional transaction receipt requested.'</t>
        </is>
      </c>
      <c r="H165" s="6" t="inlineStr">
        <is>
          <t>1. In ticket reply box, type response.
2. Click 'Send Reply'.</t>
        </is>
      </c>
      <c r="I165" s="6" t="inlineStr">
        <is>
          <t>Message dispatches via support socket/API; appears in ticket thread without page reload; status updates to 'Awaiting Agent'.</t>
        </is>
      </c>
      <c r="J165" s="7" t="inlineStr">
        <is>
          <t>P1</t>
        </is>
      </c>
      <c r="K165" s="7" t="inlineStr">
        <is>
          <t>Functional</t>
        </is>
      </c>
      <c r="L165" s="7" t="inlineStr">
        <is>
          <t>Buyer / Seller</t>
        </is>
      </c>
      <c r="M165" s="7" t="inlineStr">
        <is>
          <t>Desktop</t>
        </is>
      </c>
      <c r="N165" s="7" t="inlineStr">
        <is>
          <t>Not Run</t>
        </is>
      </c>
      <c r="O165" s="6" t="inlineStr"/>
      <c r="P165" s="7" t="inlineStr"/>
      <c r="Q165" s="6" t="inlineStr"/>
      <c r="R165" s="7" t="inlineStr"/>
      <c r="S165" s="6" t="inlineStr">
        <is>
          <t>Ticket reply workflow.</t>
        </is>
      </c>
    </row>
    <row r="166" ht="65" customHeight="1">
      <c r="A166" s="2" t="inlineStr">
        <is>
          <t>SUP-008</t>
        </is>
      </c>
      <c r="B166" s="3" t="inlineStr">
        <is>
          <t>Support &amp; Help</t>
        </is>
      </c>
      <c r="C166" s="3" t="inlineStr">
        <is>
          <t>/support/[id]</t>
        </is>
      </c>
      <c r="D166" s="3" t="inlineStr">
        <is>
          <t>Close Ticket Action</t>
        </is>
      </c>
      <c r="E166" s="3" t="inlineStr">
        <is>
          <t>User marks open support ticket as Resolved / Closed</t>
        </is>
      </c>
      <c r="F166" s="3" t="inlineStr">
        <is>
          <t>Open ticket on /support/[id].</t>
        </is>
      </c>
      <c r="G166" s="3" t="inlineStr">
        <is>
          <t>None.</t>
        </is>
      </c>
      <c r="H166" s="3" t="inlineStr">
        <is>
          <t>1. Click 'Mark as Resolved' / 'Close Ticket' button.
2. Confirm action.</t>
        </is>
      </c>
      <c r="I166" s="3" t="inlineStr">
        <is>
          <t>Ticket status updates to 'Closed'; reply input disables with notice 'This ticket is closed'; status pill updates.</t>
        </is>
      </c>
      <c r="J166" s="4" t="inlineStr">
        <is>
          <t>P2</t>
        </is>
      </c>
      <c r="K166" s="4" t="inlineStr">
        <is>
          <t>Functional</t>
        </is>
      </c>
      <c r="L166" s="4" t="inlineStr">
        <is>
          <t>Buyer / Seller</t>
        </is>
      </c>
      <c r="M166" s="4" t="inlineStr">
        <is>
          <t>Desktop</t>
        </is>
      </c>
      <c r="N166" s="4" t="inlineStr">
        <is>
          <t>Not Run</t>
        </is>
      </c>
      <c r="O166" s="3" t="inlineStr"/>
      <c r="P166" s="4" t="inlineStr"/>
      <c r="Q166" s="3" t="inlineStr"/>
      <c r="R166" s="4" t="inlineStr"/>
      <c r="S166" s="3" t="inlineStr">
        <is>
          <t>Ticket resolution.</t>
        </is>
      </c>
    </row>
    <row r="167" ht="65" customHeight="1">
      <c r="A167" s="5" t="inlineStr">
        <is>
          <t>SUP-009</t>
        </is>
      </c>
      <c r="B167" s="6" t="inlineStr">
        <is>
          <t>Support &amp; Help</t>
        </is>
      </c>
      <c r="C167" s="6" t="inlineStr">
        <is>
          <t>/support/[id]</t>
        </is>
      </c>
      <c r="D167" s="6" t="inlineStr">
        <is>
          <t>Unauthorized Ticket Access Guard</t>
        </is>
      </c>
      <c r="E167" s="6" t="inlineStr">
        <is>
          <t>Prevent User B from viewing User A's support ticket</t>
        </is>
      </c>
      <c r="F167" s="6" t="inlineStr">
        <is>
          <t>User B logged in; attempts /support/[id_of_user_a].</t>
        </is>
      </c>
      <c r="G167" s="6" t="inlineStr">
        <is>
          <t>Ticket ID belonging to User A.</t>
        </is>
      </c>
      <c r="H167" s="6" t="inlineStr">
        <is>
          <t>1. Navigate to /support/[ticket_id_of_user_a].</t>
        </is>
      </c>
      <c r="I167" s="6" t="inlineStr">
        <is>
          <t>Access denied; redirected to /support with error toast 'Unauthorized to view this ticket'; sensitive ticket info protected.</t>
        </is>
      </c>
      <c r="J167" s="7" t="inlineStr">
        <is>
          <t>P1</t>
        </is>
      </c>
      <c r="K167" s="7" t="inlineStr">
        <is>
          <t>Security</t>
        </is>
      </c>
      <c r="L167" s="7" t="inlineStr">
        <is>
          <t>Buyer / Seller</t>
        </is>
      </c>
      <c r="M167" s="7" t="inlineStr">
        <is>
          <t>Desktop</t>
        </is>
      </c>
      <c r="N167" s="7" t="inlineStr">
        <is>
          <t>Not Run</t>
        </is>
      </c>
      <c r="O167" s="6" t="inlineStr"/>
      <c r="P167" s="7" t="inlineStr"/>
      <c r="Q167" s="6" t="inlineStr"/>
      <c r="R167" s="7" t="inlineStr"/>
      <c r="S167" s="6" t="inlineStr">
        <is>
          <t>Support ticket IDOR protection.</t>
        </is>
      </c>
    </row>
    <row r="168" ht="65" customHeight="1">
      <c r="A168" s="2" t="inlineStr">
        <is>
          <t>SUP-010</t>
        </is>
      </c>
      <c r="B168" s="3" t="inlineStr">
        <is>
          <t>Support &amp; Help</t>
        </is>
      </c>
      <c r="C168" s="3" t="inlineStr">
        <is>
          <t>/help-center</t>
        </is>
      </c>
      <c r="D168" s="3" t="inlineStr">
        <is>
          <t>Help Center Search</t>
        </is>
      </c>
      <c r="E168" s="3" t="inlineStr">
        <is>
          <t>Search Help Center knowledge base for FAQs</t>
        </is>
      </c>
      <c r="F168" s="3" t="inlineStr">
        <is>
          <t>None.</t>
        </is>
      </c>
      <c r="G168" s="3" t="inlineStr">
        <is>
          <t>Query: 'refund policy'</t>
        </is>
      </c>
      <c r="H168" s="3" t="inlineStr">
        <is>
          <t>1. Navigate to /help-center.
2. In search box, type 'refund policy'.
3. Press Enter.</t>
        </is>
      </c>
      <c r="I168" s="3" t="inlineStr">
        <is>
          <t>Matching articles displayed ('How to request an order refund', 'Escrow protection guidelines'); clicking an article opens answer content.</t>
        </is>
      </c>
      <c r="J168" s="4" t="inlineStr">
        <is>
          <t>P2</t>
        </is>
      </c>
      <c r="K168" s="4" t="inlineStr">
        <is>
          <t>Functional</t>
        </is>
      </c>
      <c r="L168" s="4" t="inlineStr">
        <is>
          <t>Public</t>
        </is>
      </c>
      <c r="M168" s="4" t="inlineStr">
        <is>
          <t>Desktop</t>
        </is>
      </c>
      <c r="N168" s="4" t="inlineStr">
        <is>
          <t>Not Run</t>
        </is>
      </c>
      <c r="O168" s="3" t="inlineStr"/>
      <c r="P168" s="4" t="inlineStr"/>
      <c r="Q168" s="3" t="inlineStr"/>
      <c r="R168" s="4" t="inlineStr"/>
      <c r="S168" s="3" t="inlineStr">
        <is>
          <t>Help center FAQ search.</t>
        </is>
      </c>
    </row>
    <row r="169" ht="65" customHeight="1">
      <c r="A169" s="5" t="inlineStr">
        <is>
          <t>SUP-011</t>
        </is>
      </c>
      <c r="B169" s="6" t="inlineStr">
        <is>
          <t>Support &amp; Help</t>
        </is>
      </c>
      <c r="C169" s="6" t="inlineStr">
        <is>
          <t>/help-center</t>
        </is>
      </c>
      <c r="D169" s="6" t="inlineStr">
        <is>
          <t>Category Cards Navigation</t>
        </is>
      </c>
      <c r="E169" s="6" t="inlineStr">
        <is>
          <t>Browse Help Center by category (Getting Started, Buying, Selling, Billing)</t>
        </is>
      </c>
      <c r="F169" s="6" t="inlineStr">
        <is>
          <t>None.</t>
        </is>
      </c>
      <c r="G169" s="6" t="inlineStr">
        <is>
          <t>None.</t>
        </is>
      </c>
      <c r="H169" s="6" t="inlineStr">
        <is>
          <t>1. On /help-center, click 'Buying on Workvence' category card.
2. Click 'Billing &amp; Payments' card.</t>
        </is>
      </c>
      <c r="I169" s="6" t="inlineStr">
        <is>
          <t>Navigates to category articles list with back navigation breadcrumbs.</t>
        </is>
      </c>
      <c r="J169" s="7" t="inlineStr">
        <is>
          <t>P3</t>
        </is>
      </c>
      <c r="K169" s="7" t="inlineStr">
        <is>
          <t>UI</t>
        </is>
      </c>
      <c r="L169" s="7" t="inlineStr">
        <is>
          <t>Public</t>
        </is>
      </c>
      <c r="M169" s="7" t="inlineStr">
        <is>
          <t>Desktop</t>
        </is>
      </c>
      <c r="N169" s="7" t="inlineStr">
        <is>
          <t>Not Run</t>
        </is>
      </c>
      <c r="O169" s="6" t="inlineStr"/>
      <c r="P169" s="7" t="inlineStr"/>
      <c r="Q169" s="6" t="inlineStr"/>
      <c r="R169" s="7" t="inlineStr"/>
      <c r="S169" s="6" t="inlineStr">
        <is>
          <t>Knowledge base categories.</t>
        </is>
      </c>
    </row>
    <row r="170" ht="65" customHeight="1">
      <c r="A170" s="2" t="inlineStr">
        <is>
          <t>SUP-012</t>
        </is>
      </c>
      <c r="B170" s="3" t="inlineStr">
        <is>
          <t>Support &amp; Help</t>
        </is>
      </c>
      <c r="C170" s="3" t="inlineStr">
        <is>
          <t>/help-center</t>
        </is>
      </c>
      <c r="D170" s="3" t="inlineStr">
        <is>
          <t>Banner Design Standard</t>
        </is>
      </c>
      <c r="E170" s="3" t="inlineStr">
        <is>
          <t>Verify Help Center banner maintains established visual standard</t>
        </is>
      </c>
      <c r="F170" s="3" t="inlineStr">
        <is>
          <t>None.</t>
        </is>
      </c>
      <c r="G170" s="3" t="inlineStr">
        <is>
          <t>None.</t>
        </is>
      </c>
      <c r="H170" s="3" t="inlineStr">
        <is>
          <t>1. Navigate to /help-center.
2. Inspect top hero banner height, padding, brand green gradient, search input styling, and responsive layout.</t>
        </is>
      </c>
      <c r="I170" s="3" t="inlineStr">
        <is>
          <t>Banner matches the reference design specification with clean typography, centered search input, and zero visual glitches.</t>
        </is>
      </c>
      <c r="J170" s="4" t="inlineStr">
        <is>
          <t>P3</t>
        </is>
      </c>
      <c r="K170" s="4" t="inlineStr">
        <is>
          <t>UI</t>
        </is>
      </c>
      <c r="L170" s="4" t="inlineStr">
        <is>
          <t>Public</t>
        </is>
      </c>
      <c r="M170" s="4" t="inlineStr">
        <is>
          <t>Desktop</t>
        </is>
      </c>
      <c r="N170" s="4" t="inlineStr">
        <is>
          <t>Not Run</t>
        </is>
      </c>
      <c r="O170" s="3" t="inlineStr"/>
      <c r="P170" s="4" t="inlineStr"/>
      <c r="Q170" s="3" t="inlineStr"/>
      <c r="R170" s="4" t="inlineStr"/>
      <c r="S170" s="3" t="inlineStr">
        <is>
          <t>Reference banner design audit.</t>
        </is>
      </c>
    </row>
    <row r="171" ht="65" customHeight="1">
      <c r="A171" s="5" t="inlineStr">
        <is>
          <t>SUP-013</t>
        </is>
      </c>
      <c r="B171" s="6" t="inlineStr">
        <is>
          <t>Support &amp; Help</t>
        </is>
      </c>
      <c r="C171" s="6" t="inlineStr">
        <is>
          <t>/trust-safety</t>
        </is>
      </c>
      <c r="D171" s="6" t="inlineStr">
        <is>
          <t>Trust &amp; Safety Page</t>
        </is>
      </c>
      <c r="E171" s="6" t="inlineStr">
        <is>
          <t>Verify Trust &amp; Safety center content and reporting links</t>
        </is>
      </c>
      <c r="F171" s="6" t="inlineStr">
        <is>
          <t>None.</t>
        </is>
      </c>
      <c r="G171" s="6" t="inlineStr">
        <is>
          <t>None.</t>
        </is>
      </c>
      <c r="H171" s="6" t="inlineStr">
        <is>
          <t>1. Navigate to /trust-safety.
2. Review identity verification standards, payment protection, and fraud reporting CTA.</t>
        </is>
      </c>
      <c r="I171" s="6" t="inlineStr">
        <is>
          <t>Page renders complete safety policies and links to submit security reports.</t>
        </is>
      </c>
      <c r="J171" s="7" t="inlineStr">
        <is>
          <t>P3</t>
        </is>
      </c>
      <c r="K171" s="7" t="inlineStr">
        <is>
          <t>UI</t>
        </is>
      </c>
      <c r="L171" s="7" t="inlineStr">
        <is>
          <t>Public</t>
        </is>
      </c>
      <c r="M171" s="7" t="inlineStr">
        <is>
          <t>Desktop</t>
        </is>
      </c>
      <c r="N171" s="7" t="inlineStr">
        <is>
          <t>Not Run</t>
        </is>
      </c>
      <c r="O171" s="6" t="inlineStr"/>
      <c r="P171" s="7" t="inlineStr"/>
      <c r="Q171" s="6" t="inlineStr"/>
      <c r="R171" s="7" t="inlineStr"/>
      <c r="S171" s="6" t="inlineStr">
        <is>
          <t>Safety center verification.</t>
        </is>
      </c>
    </row>
    <row r="172" ht="65" customHeight="1">
      <c r="A172" s="2" t="inlineStr">
        <is>
          <t>SUP-014</t>
        </is>
      </c>
      <c r="B172" s="3" t="inlineStr">
        <is>
          <t>Support &amp; Help</t>
        </is>
      </c>
      <c r="C172" s="3" t="inlineStr">
        <is>
          <t>/support</t>
        </is>
      </c>
      <c r="D172" s="3" t="inlineStr">
        <is>
          <t>Guest Access Guard</t>
        </is>
      </c>
      <c r="E172" s="3" t="inlineStr">
        <is>
          <t>Attempt to access /support as unauthenticated Guest</t>
        </is>
      </c>
      <c r="F172" s="3" t="inlineStr">
        <is>
          <t>User logged out.</t>
        </is>
      </c>
      <c r="G172" s="3" t="inlineStr">
        <is>
          <t>None.</t>
        </is>
      </c>
      <c r="H172" s="3" t="inlineStr">
        <is>
          <t>1. Navigate to /support.</t>
        </is>
      </c>
      <c r="I172" s="3" t="inlineStr">
        <is>
          <t>Proxy intercepts request; redirects user to /login?redirect=/support.</t>
        </is>
      </c>
      <c r="J172" s="4" t="inlineStr">
        <is>
          <t>P1</t>
        </is>
      </c>
      <c r="K172" s="4" t="inlineStr">
        <is>
          <t>Security</t>
        </is>
      </c>
      <c r="L172" s="4" t="inlineStr">
        <is>
          <t>Guest</t>
        </is>
      </c>
      <c r="M172" s="4" t="inlineStr">
        <is>
          <t>Desktop</t>
        </is>
      </c>
      <c r="N172" s="4" t="inlineStr">
        <is>
          <t>Not Run</t>
        </is>
      </c>
      <c r="O172" s="3" t="inlineStr"/>
      <c r="P172" s="4" t="inlineStr"/>
      <c r="Q172" s="3" t="inlineStr"/>
      <c r="R172" s="4" t="inlineStr"/>
      <c r="S172" s="3" t="inlineStr">
        <is>
          <t>Guest support route protection.</t>
        </is>
      </c>
    </row>
    <row r="173" ht="65" customHeight="1">
      <c r="A173" s="5" t="inlineStr">
        <is>
          <t>ADM-001</t>
        </is>
      </c>
      <c r="B173" s="6" t="inlineStr">
        <is>
          <t>Admin Portal</t>
        </is>
      </c>
      <c r="C173" s="6" t="inlineStr">
        <is>
          <t>/admin/dashboard</t>
        </is>
      </c>
      <c r="D173" s="6" t="inlineStr">
        <is>
          <t>Admin Dashboard KPIs</t>
        </is>
      </c>
      <c r="E173" s="6" t="inlineStr">
        <is>
          <t>Verify Admin Dashboard renders platform KPI metrics cards</t>
        </is>
      </c>
      <c r="F173" s="6" t="inlineStr">
        <is>
          <t>Admin user logged in (role: 'admin').</t>
        </is>
      </c>
      <c r="G173" s="6" t="inlineStr">
        <is>
          <t>None.</t>
        </is>
      </c>
      <c r="H173" s="6" t="inlineStr">
        <is>
          <t>1. Navigate to /admin/dashboard.
2. Inspect KPI metric cards: Total Revenue / GMV, Total Users, Active Packages, Open Disputes, Pending Payouts.</t>
        </is>
      </c>
      <c r="I173" s="6" t="inlineStr">
        <is>
          <t>All KPI cards render formatted numbers with trend percentage badges (e.g. +12.4% vs last month); no NaN or undefined.</t>
        </is>
      </c>
      <c r="J173" s="7" t="inlineStr">
        <is>
          <t>P1</t>
        </is>
      </c>
      <c r="K173" s="7" t="inlineStr">
        <is>
          <t>UI</t>
        </is>
      </c>
      <c r="L173" s="7" t="inlineStr">
        <is>
          <t>Admin</t>
        </is>
      </c>
      <c r="M173" s="7" t="inlineStr">
        <is>
          <t>Desktop</t>
        </is>
      </c>
      <c r="N173" s="7" t="inlineStr">
        <is>
          <t>Not Run</t>
        </is>
      </c>
      <c r="O173" s="6" t="inlineStr"/>
      <c r="P173" s="7" t="inlineStr"/>
      <c r="Q173" s="6" t="inlineStr"/>
      <c r="R173" s="7" t="inlineStr"/>
      <c r="S173" s="6" t="inlineStr">
        <is>
          <t>Platform health metrics.</t>
        </is>
      </c>
    </row>
    <row r="174" ht="65" customHeight="1">
      <c r="A174" s="2" t="inlineStr">
        <is>
          <t>ADM-002</t>
        </is>
      </c>
      <c r="B174" s="3" t="inlineStr">
        <is>
          <t>Admin Portal</t>
        </is>
      </c>
      <c r="C174" s="3" t="inlineStr">
        <is>
          <t>/admin/dashboard</t>
        </is>
      </c>
      <c r="D174" s="3" t="inlineStr">
        <is>
          <t>Revenue Trend Chart</t>
        </is>
      </c>
      <c r="E174" s="3" t="inlineStr">
        <is>
          <t>Verify Recharts revenue trend area/bar chart rendering</t>
        </is>
      </c>
      <c r="F174" s="3" t="inlineStr">
        <is>
          <t>Admin on /admin/dashboard.</t>
        </is>
      </c>
      <c r="G174" s="3" t="inlineStr">
        <is>
          <t>None.</t>
        </is>
      </c>
      <c r="H174" s="3" t="inlineStr">
        <is>
          <t>1. Locate Revenue Analytics chart on /admin/dashboard.
2. Hover over chart data points to trigger tooltips.
3. Test time range selector (7D, 30D, 1Y).</t>
        </is>
      </c>
      <c r="I174" s="3" t="inlineStr">
        <is>
          <t>Recharts renders smooth SVG chart; tooltip displays formatted date and revenue value ($); time range selector re-renders data cleanly.</t>
        </is>
      </c>
      <c r="J174" s="4" t="inlineStr">
        <is>
          <t>P1</t>
        </is>
      </c>
      <c r="K174" s="4" t="inlineStr">
        <is>
          <t>UI</t>
        </is>
      </c>
      <c r="L174" s="4" t="inlineStr">
        <is>
          <t>Admin</t>
        </is>
      </c>
      <c r="M174" s="4" t="inlineStr">
        <is>
          <t>Desktop</t>
        </is>
      </c>
      <c r="N174" s="4" t="inlineStr">
        <is>
          <t>Not Run</t>
        </is>
      </c>
      <c r="O174" s="3" t="inlineStr"/>
      <c r="P174" s="4" t="inlineStr"/>
      <c r="Q174" s="3" t="inlineStr"/>
      <c r="R174" s="4" t="inlineStr"/>
      <c r="S174" s="3" t="inlineStr">
        <is>
          <t>Interactive revenue chart.</t>
        </is>
      </c>
    </row>
    <row r="175" ht="65" customHeight="1">
      <c r="A175" s="5" t="inlineStr">
        <is>
          <t>ADM-003</t>
        </is>
      </c>
      <c r="B175" s="6" t="inlineStr">
        <is>
          <t>Admin Portal</t>
        </is>
      </c>
      <c r="C175" s="6" t="inlineStr">
        <is>
          <t>/admin/dashboard</t>
        </is>
      </c>
      <c r="D175" s="6" t="inlineStr">
        <is>
          <t>Orders Breakdown Chart</t>
        </is>
      </c>
      <c r="E175" s="6" t="inlineStr">
        <is>
          <t>Inspect Orders Status Breakdown pie/donut chart</t>
        </is>
      </c>
      <c r="F175" s="6" t="inlineStr">
        <is>
          <t>Admin on /admin/dashboard.</t>
        </is>
      </c>
      <c r="G175" s="6" t="inlineStr">
        <is>
          <t>None.</t>
        </is>
      </c>
      <c r="H175" s="6" t="inlineStr">
        <is>
          <t>1. Locate Orders Breakdown chart.
2. Inspect legend categories (Completed, Active, Disputed, Cancelled).
3. Hover over pie slices.</t>
        </is>
      </c>
      <c r="I175" s="6" t="inlineStr">
        <is>
          <t>Chart displays proportional status segments with legend percentages; hover tooltips work.</t>
        </is>
      </c>
      <c r="J175" s="7" t="inlineStr">
        <is>
          <t>P2</t>
        </is>
      </c>
      <c r="K175" s="7" t="inlineStr">
        <is>
          <t>UI</t>
        </is>
      </c>
      <c r="L175" s="7" t="inlineStr">
        <is>
          <t>Admin</t>
        </is>
      </c>
      <c r="M175" s="7" t="inlineStr">
        <is>
          <t>Desktop</t>
        </is>
      </c>
      <c r="N175" s="7" t="inlineStr">
        <is>
          <t>Not Run</t>
        </is>
      </c>
      <c r="O175" s="6" t="inlineStr"/>
      <c r="P175" s="7" t="inlineStr"/>
      <c r="Q175" s="6" t="inlineStr"/>
      <c r="R175" s="7" t="inlineStr"/>
      <c r="S175" s="6" t="inlineStr">
        <is>
          <t>Order status visualization.</t>
        </is>
      </c>
    </row>
    <row r="176" ht="65" customHeight="1">
      <c r="A176" s="2" t="inlineStr">
        <is>
          <t>ADM-004</t>
        </is>
      </c>
      <c r="B176" s="3" t="inlineStr">
        <is>
          <t>Admin Portal</t>
        </is>
      </c>
      <c r="C176" s="3" t="inlineStr">
        <is>
          <t>/admin/dashboard</t>
        </is>
      </c>
      <c r="D176" s="3" t="inlineStr">
        <is>
          <t>Pending Actions Queue</t>
        </is>
      </c>
      <c r="E176" s="3" t="inlineStr">
        <is>
          <t>Inspect Pending Moderation queue (Disputes, KYC approvals, Payouts)</t>
        </is>
      </c>
      <c r="F176" s="3" t="inlineStr">
        <is>
          <t>Admin on /admin/dashboard.</t>
        </is>
      </c>
      <c r="G176" s="3" t="inlineStr">
        <is>
          <t>None.</t>
        </is>
      </c>
      <c r="H176" s="3" t="inlineStr">
        <is>
          <t>1. Scroll to 'Pending Actions' or 'Recent Activity' table.
2. Verify action rows with severity badges (Dispute, Payout, User Report).
3. Click 'Review' action.</t>
        </is>
      </c>
      <c r="I176" s="3" t="inlineStr">
        <is>
          <t>Pending items displayed with user context, date, and status badges; action triggers moderation modal or route.</t>
        </is>
      </c>
      <c r="J176" s="4" t="inlineStr">
        <is>
          <t>P1</t>
        </is>
      </c>
      <c r="K176" s="4" t="inlineStr">
        <is>
          <t>Functional</t>
        </is>
      </c>
      <c r="L176" s="4" t="inlineStr">
        <is>
          <t>Admin</t>
        </is>
      </c>
      <c r="M176" s="4" t="inlineStr">
        <is>
          <t>Desktop</t>
        </is>
      </c>
      <c r="N176" s="4" t="inlineStr">
        <is>
          <t>Not Run</t>
        </is>
      </c>
      <c r="O176" s="3" t="inlineStr"/>
      <c r="P176" s="4" t="inlineStr"/>
      <c r="Q176" s="3" t="inlineStr"/>
      <c r="R176" s="4" t="inlineStr"/>
      <c r="S176" s="3" t="inlineStr">
        <is>
          <t>Admin moderation queue.</t>
        </is>
      </c>
    </row>
    <row r="177" ht="65" customHeight="1">
      <c r="A177" s="5" t="inlineStr">
        <is>
          <t>ADM-005</t>
        </is>
      </c>
      <c r="B177" s="6" t="inlineStr">
        <is>
          <t>Admin Portal</t>
        </is>
      </c>
      <c r="C177" s="6" t="inlineStr">
        <is>
          <t>/admin/dashboard</t>
        </is>
      </c>
      <c r="D177" s="6" t="inlineStr">
        <is>
          <t>Admin RBAC Security Guard</t>
        </is>
      </c>
      <c r="E177" s="6" t="inlineStr">
        <is>
          <t>Attempt to access /admin/dashboard as non-admin Buyer or Seller</t>
        </is>
      </c>
      <c r="F177" s="6" t="inlineStr">
        <is>
          <t>User logged in as regular Buyer or Seller (role: 'buyer' or 'seller').</t>
        </is>
      </c>
      <c r="G177" s="6" t="inlineStr">
        <is>
          <t>None.</t>
        </is>
      </c>
      <c r="H177" s="6" t="inlineStr">
        <is>
          <t>1. Log in as regular buyer or seller.
2. Enter /admin/dashboard in browser URL bar.
3. Press Enter.</t>
        </is>
      </c>
      <c r="I177" s="6" t="inlineStr">
        <is>
          <t>Proxy intercepts request (isAdmin check fails); redirects user immediately to /dashboard; admin portal completely inaccessible.</t>
        </is>
      </c>
      <c r="J177" s="7" t="inlineStr">
        <is>
          <t>P1</t>
        </is>
      </c>
      <c r="K177" s="7" t="inlineStr">
        <is>
          <t>Security</t>
        </is>
      </c>
      <c r="L177" s="7" t="inlineStr">
        <is>
          <t>Buyer / Seller</t>
        </is>
      </c>
      <c r="M177" s="7" t="inlineStr">
        <is>
          <t>Desktop</t>
        </is>
      </c>
      <c r="N177" s="7" t="inlineStr">
        <is>
          <t>Not Run</t>
        </is>
      </c>
      <c r="O177" s="6" t="inlineStr"/>
      <c r="P177" s="7" t="inlineStr"/>
      <c r="Q177" s="6" t="inlineStr"/>
      <c r="R177" s="7" t="inlineStr"/>
      <c r="S177" s="6" t="inlineStr">
        <is>
          <t>Admin route protection.</t>
        </is>
      </c>
    </row>
    <row r="178" ht="65" customHeight="1">
      <c r="A178" s="2" t="inlineStr">
        <is>
          <t>ADM-006</t>
        </is>
      </c>
      <c r="B178" s="3" t="inlineStr">
        <is>
          <t>Admin Portal</t>
        </is>
      </c>
      <c r="C178" s="3" t="inlineStr">
        <is>
          <t>/admin/dashboard</t>
        </is>
      </c>
      <c r="D178" s="3" t="inlineStr">
        <is>
          <t>Guest Access Restriction</t>
        </is>
      </c>
      <c r="E178" s="3" t="inlineStr">
        <is>
          <t>Attempt to access /admin/dashboard as unauthenticated Guest</t>
        </is>
      </c>
      <c r="F178" s="3" t="inlineStr">
        <is>
          <t>User logged out.</t>
        </is>
      </c>
      <c r="G178" s="3" t="inlineStr">
        <is>
          <t>None.</t>
        </is>
      </c>
      <c r="H178" s="3" t="inlineStr">
        <is>
          <t>1. Navigate to /admin/dashboard.</t>
        </is>
      </c>
      <c r="I178" s="3" t="inlineStr">
        <is>
          <t>Proxy redirects user to /login?redirect=/admin/dashboard.</t>
        </is>
      </c>
      <c r="J178" s="4" t="inlineStr">
        <is>
          <t>P1</t>
        </is>
      </c>
      <c r="K178" s="4" t="inlineStr">
        <is>
          <t>Security</t>
        </is>
      </c>
      <c r="L178" s="4" t="inlineStr">
        <is>
          <t>Guest</t>
        </is>
      </c>
      <c r="M178" s="4" t="inlineStr">
        <is>
          <t>Desktop</t>
        </is>
      </c>
      <c r="N178" s="4" t="inlineStr">
        <is>
          <t>Not Run</t>
        </is>
      </c>
      <c r="O178" s="3" t="inlineStr"/>
      <c r="P178" s="4" t="inlineStr"/>
      <c r="Q178" s="3" t="inlineStr"/>
      <c r="R178" s="4" t="inlineStr"/>
      <c r="S178" s="3" t="inlineStr">
        <is>
          <t>Guest admin route guard.</t>
        </is>
      </c>
    </row>
    <row r="179" ht="65" customHeight="1">
      <c r="A179" s="5" t="inlineStr">
        <is>
          <t>ADM-007</t>
        </is>
      </c>
      <c r="B179" s="6" t="inlineStr">
        <is>
          <t>Admin Portal</t>
        </is>
      </c>
      <c r="C179" s="6" t="inlineStr">
        <is>
          <t>/admin/dashboard</t>
        </is>
      </c>
      <c r="D179" s="6" t="inlineStr">
        <is>
          <t>Admin Axios API Header</t>
        </is>
      </c>
      <c r="E179" s="6" t="inlineStr">
        <is>
          <t>Verify admin API calls use adminAxios with /api/admin base route</t>
        </is>
      </c>
      <c r="F179" s="6" t="inlineStr">
        <is>
          <t>Admin logged in on dashboard.</t>
        </is>
      </c>
      <c r="G179" s="6" t="inlineStr">
        <is>
          <t>None.</t>
        </is>
      </c>
      <c r="H179" s="6" t="inlineStr">
        <is>
          <t>1. Inspect browser Network tab during admin dashboard load.
2. Filter by /api/admin requests.</t>
        </is>
      </c>
      <c r="I179" s="6" t="inlineStr">
        <is>
          <t>Requests dispatch to /api/admin/...; Authorization Bearer token attached; response HTTP 200.</t>
        </is>
      </c>
      <c r="J179" s="7" t="inlineStr">
        <is>
          <t>P1</t>
        </is>
      </c>
      <c r="K179" s="7" t="inlineStr">
        <is>
          <t>Integration</t>
        </is>
      </c>
      <c r="L179" s="7" t="inlineStr">
        <is>
          <t>Admin</t>
        </is>
      </c>
      <c r="M179" s="7" t="inlineStr">
        <is>
          <t>Desktop</t>
        </is>
      </c>
      <c r="N179" s="7" t="inlineStr">
        <is>
          <t>Not Run</t>
        </is>
      </c>
      <c r="O179" s="6" t="inlineStr"/>
      <c r="P179" s="7" t="inlineStr"/>
      <c r="Q179" s="6" t="inlineStr"/>
      <c r="R179" s="7" t="inlineStr"/>
      <c r="S179" s="6" t="inlineStr">
        <is>
          <t>Admin API client verification.</t>
        </is>
      </c>
    </row>
    <row r="180" ht="65" customHeight="1">
      <c r="A180" s="2" t="inlineStr">
        <is>
          <t>ADM-008</t>
        </is>
      </c>
      <c r="B180" s="3" t="inlineStr">
        <is>
          <t>Admin Portal</t>
        </is>
      </c>
      <c r="C180" s="3" t="inlineStr">
        <is>
          <t>/admin/dashboard</t>
        </is>
      </c>
      <c r="D180" s="3" t="inlineStr">
        <is>
          <t>Admin Sidebar Navigation</t>
        </is>
      </c>
      <c r="E180" s="3" t="inlineStr">
        <is>
          <t>Verify Admin Sidebar navigation items and active states</t>
        </is>
      </c>
      <c r="F180" s="3" t="inlineStr">
        <is>
          <t>Admin on /admin/dashboard.</t>
        </is>
      </c>
      <c r="G180" s="3" t="inlineStr">
        <is>
          <t>None.</t>
        </is>
      </c>
      <c r="H180" s="3" t="inlineStr">
        <is>
          <t>1. Inspect Admin Sidebar links (Dashboard, Users, Packages, Disputes, Payouts, Support, Settings).
2. Verify 'Dashboard' is highlighted as active.</t>
        </is>
      </c>
      <c r="I180" s="3" t="inlineStr">
        <is>
          <t>Sidebar renders with clean dark theme styling; active item indicated with brand green pill/bar.</t>
        </is>
      </c>
      <c r="J180" s="4" t="inlineStr">
        <is>
          <t>P2</t>
        </is>
      </c>
      <c r="K180" s="4" t="inlineStr">
        <is>
          <t>UI</t>
        </is>
      </c>
      <c r="L180" s="4" t="inlineStr">
        <is>
          <t>Admin</t>
        </is>
      </c>
      <c r="M180" s="4" t="inlineStr">
        <is>
          <t>Desktop</t>
        </is>
      </c>
      <c r="N180" s="4" t="inlineStr">
        <is>
          <t>Not Run</t>
        </is>
      </c>
      <c r="O180" s="3" t="inlineStr"/>
      <c r="P180" s="4" t="inlineStr"/>
      <c r="Q180" s="3" t="inlineStr"/>
      <c r="R180" s="4" t="inlineStr"/>
      <c r="S180" s="3" t="inlineStr">
        <is>
          <t>Admin sidebar layout.</t>
        </is>
      </c>
    </row>
    <row r="181" ht="65" customHeight="1">
      <c r="A181" s="5" t="inlineStr">
        <is>
          <t>ADM-009</t>
        </is>
      </c>
      <c r="B181" s="6" t="inlineStr">
        <is>
          <t>Admin Portal</t>
        </is>
      </c>
      <c r="C181" s="6" t="inlineStr">
        <is>
          <t>/admin/dashboard</t>
        </is>
      </c>
      <c r="D181" s="6" t="inlineStr">
        <is>
          <t>Admin Logout Action</t>
        </is>
      </c>
      <c r="E181" s="6" t="inlineStr">
        <is>
          <t>Log out from admin portal and verify session destruction</t>
        </is>
      </c>
      <c r="F181" s="6" t="inlineStr">
        <is>
          <t>Admin logged in.</t>
        </is>
      </c>
      <c r="G181" s="6" t="inlineStr">
        <is>
          <t>None.</t>
        </is>
      </c>
      <c r="H181" s="6" t="inlineStr">
        <is>
          <t>1. Click Admin profile menu.
2. Click 'Log Out'.</t>
        </is>
      </c>
      <c r="I181" s="6" t="inlineStr">
        <is>
          <t>Admin session destroyed; cookies deleted; user redirected to /login; browser back button cannot re-enter /admin.</t>
        </is>
      </c>
      <c r="J181" s="7" t="inlineStr">
        <is>
          <t>P1</t>
        </is>
      </c>
      <c r="K181" s="7" t="inlineStr">
        <is>
          <t>Security</t>
        </is>
      </c>
      <c r="L181" s="7" t="inlineStr">
        <is>
          <t>Admin</t>
        </is>
      </c>
      <c r="M181" s="7" t="inlineStr">
        <is>
          <t>Desktop</t>
        </is>
      </c>
      <c r="N181" s="7" t="inlineStr">
        <is>
          <t>Not Run</t>
        </is>
      </c>
      <c r="O181" s="6" t="inlineStr"/>
      <c r="P181" s="7" t="inlineStr"/>
      <c r="Q181" s="6" t="inlineStr"/>
      <c r="R181" s="7" t="inlineStr"/>
      <c r="S181" s="6" t="inlineStr">
        <is>
          <t>Admin session termination.</t>
        </is>
      </c>
    </row>
    <row r="182" ht="65" customHeight="1">
      <c r="A182" s="2" t="inlineStr">
        <is>
          <t>ADM-010</t>
        </is>
      </c>
      <c r="B182" s="3" t="inlineStr">
        <is>
          <t>Admin Portal</t>
        </is>
      </c>
      <c r="C182" s="3" t="inlineStr">
        <is>
          <t>/admin/dashboard</t>
        </is>
      </c>
      <c r="D182" s="3" t="inlineStr">
        <is>
          <t>Admin Search Bar</t>
        </is>
      </c>
      <c r="E182" s="3" t="inlineStr">
        <is>
          <t>Search users or orders from admin top navigation search bar</t>
        </is>
      </c>
      <c r="F182" s="3" t="inlineStr">
        <is>
          <t>Admin on /admin/dashboard.</t>
        </is>
      </c>
      <c r="G182" s="3" t="inlineStr">
        <is>
          <t>Query: 'buyer_test'</t>
        </is>
      </c>
      <c r="H182" s="3" t="inlineStr">
        <is>
          <t>1. Type username in admin search bar.
2. Press Enter.</t>
        </is>
      </c>
      <c r="I182" s="3" t="inlineStr">
        <is>
          <t>Admin search executes; returns matching users with ID, email, role, and verification status.</t>
        </is>
      </c>
      <c r="J182" s="4" t="inlineStr">
        <is>
          <t>P2</t>
        </is>
      </c>
      <c r="K182" s="4" t="inlineStr">
        <is>
          <t>Functional</t>
        </is>
      </c>
      <c r="L182" s="4" t="inlineStr">
        <is>
          <t>Admin</t>
        </is>
      </c>
      <c r="M182" s="4" t="inlineStr">
        <is>
          <t>Desktop</t>
        </is>
      </c>
      <c r="N182" s="4" t="inlineStr">
        <is>
          <t>Not Run</t>
        </is>
      </c>
      <c r="O182" s="3" t="inlineStr"/>
      <c r="P182" s="4" t="inlineStr"/>
      <c r="Q182" s="3" t="inlineStr"/>
      <c r="R182" s="4" t="inlineStr"/>
      <c r="S182" s="3" t="inlineStr">
        <is>
          <t>Global admin search.</t>
        </is>
      </c>
    </row>
    <row r="183" ht="65" customHeight="1">
      <c r="A183" s="5" t="inlineStr">
        <is>
          <t>ADM-011</t>
        </is>
      </c>
      <c r="B183" s="6" t="inlineStr">
        <is>
          <t>Admin Portal</t>
        </is>
      </c>
      <c r="C183" s="6" t="inlineStr">
        <is>
          <t>/admin/dashboard</t>
        </is>
      </c>
      <c r="D183" s="6" t="inlineStr">
        <is>
          <t>Dispute Resolution Modal</t>
        </is>
      </c>
      <c r="E183" s="6" t="inlineStr">
        <is>
          <t>Review and resolve order dispute from admin dashboard</t>
        </is>
      </c>
      <c r="F183" s="6" t="inlineStr">
        <is>
          <t>Disputed order exists in pending actions.</t>
        </is>
      </c>
      <c r="G183" s="6" t="inlineStr">
        <is>
          <t>Resolution: 'Refund 50% to Buyer, Release 50% to Seller'</t>
        </is>
      </c>
      <c r="H183" s="6" t="inlineStr">
        <is>
          <t>1. Click 'Review Dispute' on pending action row.
2. Inspect buyer and seller claims.
3. Select resolution terms.
4. Click 'Apply Resolution'.</t>
        </is>
      </c>
      <c r="I183" s="6" t="inlineStr">
        <is>
          <t>Dispute marked resolved; escrow funds distributed accordingly; audit log entry recorded; both parties notified.</t>
        </is>
      </c>
      <c r="J183" s="7" t="inlineStr">
        <is>
          <t>P1</t>
        </is>
      </c>
      <c r="K183" s="7" t="inlineStr">
        <is>
          <t>Functional</t>
        </is>
      </c>
      <c r="L183" s="7" t="inlineStr">
        <is>
          <t>Admin</t>
        </is>
      </c>
      <c r="M183" s="7" t="inlineStr">
        <is>
          <t>Desktop</t>
        </is>
      </c>
      <c r="N183" s="7" t="inlineStr">
        <is>
          <t>Not Run</t>
        </is>
      </c>
      <c r="O183" s="6" t="inlineStr"/>
      <c r="P183" s="7" t="inlineStr"/>
      <c r="Q183" s="6" t="inlineStr"/>
      <c r="R183" s="7" t="inlineStr"/>
      <c r="S183" s="6" t="inlineStr">
        <is>
          <t>Dispute resolution action.</t>
        </is>
      </c>
    </row>
    <row r="184" ht="65" customHeight="1">
      <c r="A184" s="2" t="inlineStr">
        <is>
          <t>ADM-012</t>
        </is>
      </c>
      <c r="B184" s="3" t="inlineStr">
        <is>
          <t>Admin Portal</t>
        </is>
      </c>
      <c r="C184" s="3" t="inlineStr">
        <is>
          <t>/admin/dashboard</t>
        </is>
      </c>
      <c r="D184" s="3" t="inlineStr">
        <is>
          <t>Payout Approval Action</t>
        </is>
      </c>
      <c r="E184" s="3" t="inlineStr">
        <is>
          <t>Approve pending seller payout withdrawal request</t>
        </is>
      </c>
      <c r="F184" s="3" t="inlineStr">
        <is>
          <t>Pending payout in queue.</t>
        </is>
      </c>
      <c r="G184" s="3" t="inlineStr">
        <is>
          <t>None.</t>
        </is>
      </c>
      <c r="H184" s="3" t="inlineStr">
        <is>
          <t>1. In pending payouts section, locate seller withdrawal request.
2. Click 'Approve Payout'.
3. Confirm action.</t>
        </is>
      </c>
      <c r="I184" s="3" t="inlineStr">
        <is>
          <t>API dispatches POST /api/admin/payouts/:id/approve; Stripe payout initiated; status updates to 'Processed'.</t>
        </is>
      </c>
      <c r="J184" s="4" t="inlineStr">
        <is>
          <t>P1</t>
        </is>
      </c>
      <c r="K184" s="4" t="inlineStr">
        <is>
          <t>Functional</t>
        </is>
      </c>
      <c r="L184" s="4" t="inlineStr">
        <is>
          <t>Admin</t>
        </is>
      </c>
      <c r="M184" s="4" t="inlineStr">
        <is>
          <t>Desktop</t>
        </is>
      </c>
      <c r="N184" s="4" t="inlineStr">
        <is>
          <t>Not Run</t>
        </is>
      </c>
      <c r="O184" s="3" t="inlineStr"/>
      <c r="P184" s="4" t="inlineStr"/>
      <c r="Q184" s="3" t="inlineStr"/>
      <c r="R184" s="4" t="inlineStr"/>
      <c r="S184" s="3" t="inlineStr">
        <is>
          <t>Payout approval workflow.</t>
        </is>
      </c>
    </row>
    <row r="185" ht="65" customHeight="1">
      <c r="A185" s="5" t="inlineStr">
        <is>
          <t>ADM-013</t>
        </is>
      </c>
      <c r="B185" s="6" t="inlineStr">
        <is>
          <t>Admin Portal</t>
        </is>
      </c>
      <c r="C185" s="6" t="inlineStr">
        <is>
          <t>/admin/dashboard</t>
        </is>
      </c>
      <c r="D185" s="6" t="inlineStr">
        <is>
          <t>User Suspend Action</t>
        </is>
      </c>
      <c r="E185" s="6" t="inlineStr">
        <is>
          <t>Suspend user account for terms of service violation</t>
        </is>
      </c>
      <c r="F185" s="6" t="inlineStr">
        <is>
          <t>Test user account.</t>
        </is>
      </c>
      <c r="G185" s="6" t="inlineStr">
        <is>
          <t>Reason: 'Fraudulent activity'</t>
        </is>
      </c>
      <c r="H185" s="6" t="inlineStr">
        <is>
          <t>1. In user moderation view, locate test account.
2. Click 'Suspend Account'.
3. Enter suspension reason.
4. Confirm prompt.</t>
        </is>
      </c>
      <c r="I185" s="6" t="inlineStr">
        <is>
          <t>User account updated to isSuspended: true; user active sessions invalidated; user now redirected to /seller/suspended.</t>
        </is>
      </c>
      <c r="J185" s="7" t="inlineStr">
        <is>
          <t>P1</t>
        </is>
      </c>
      <c r="K185" s="7" t="inlineStr">
        <is>
          <t>Functional</t>
        </is>
      </c>
      <c r="L185" s="7" t="inlineStr">
        <is>
          <t>Admin</t>
        </is>
      </c>
      <c r="M185" s="7" t="inlineStr">
        <is>
          <t>Desktop</t>
        </is>
      </c>
      <c r="N185" s="7" t="inlineStr">
        <is>
          <t>Not Run</t>
        </is>
      </c>
      <c r="O185" s="6" t="inlineStr"/>
      <c r="P185" s="7" t="inlineStr"/>
      <c r="Q185" s="6" t="inlineStr"/>
      <c r="R185" s="7" t="inlineStr"/>
      <c r="S185" s="6" t="inlineStr">
        <is>
          <t>Account suspension.</t>
        </is>
      </c>
    </row>
    <row r="186" ht="65" customHeight="1">
      <c r="A186" s="2" t="inlineStr">
        <is>
          <t>ADM-014</t>
        </is>
      </c>
      <c r="B186" s="3" t="inlineStr">
        <is>
          <t>Admin Portal</t>
        </is>
      </c>
      <c r="C186" s="3" t="inlineStr">
        <is>
          <t>/admin/dashboard</t>
        </is>
      </c>
      <c r="D186" s="3" t="inlineStr">
        <is>
          <t>Responsive Admin Layout</t>
        </is>
      </c>
      <c r="E186" s="3" t="inlineStr">
        <is>
          <t>Inspect admin dashboard on laptop and tablet viewports</t>
        </is>
      </c>
      <c r="F186" s="3" t="inlineStr">
        <is>
          <t>Admin logged in.</t>
        </is>
      </c>
      <c r="G186" s="3" t="inlineStr">
        <is>
          <t>None.</t>
        </is>
      </c>
      <c r="H186" s="3" t="inlineStr">
        <is>
          <t>1. Resize browser to 1024x768 (Laptop) and 768x1024 (Tablet).
2. Inspect KPI grid and sidebar collapsible behavior.</t>
        </is>
      </c>
      <c r="I186" s="3" t="inlineStr">
        <is>
          <t>Sidebar collapses to icon-only rail or hamburger drawer; KPI cards wrap to 2 columns; no clipped charts or tables.</t>
        </is>
      </c>
      <c r="J186" s="4" t="inlineStr">
        <is>
          <t>P2</t>
        </is>
      </c>
      <c r="K186" s="4" t="inlineStr">
        <is>
          <t>Responsive</t>
        </is>
      </c>
      <c r="L186" s="4" t="inlineStr">
        <is>
          <t>Admin</t>
        </is>
      </c>
      <c r="M186" s="4" t="inlineStr">
        <is>
          <t>Laptop</t>
        </is>
      </c>
      <c r="N186" s="4" t="inlineStr">
        <is>
          <t>Not Run</t>
        </is>
      </c>
      <c r="O186" s="3" t="inlineStr"/>
      <c r="P186" s="4" t="inlineStr"/>
      <c r="Q186" s="3" t="inlineStr"/>
      <c r="R186" s="4" t="inlineStr"/>
      <c r="S186" s="3" t="inlineStr">
        <is>
          <t>Admin responsive layout.</t>
        </is>
      </c>
    </row>
    <row r="187" ht="65" customHeight="1">
      <c r="A187" s="5" t="inlineStr">
        <is>
          <t>PRF-001</t>
        </is>
      </c>
      <c r="B187" s="6" t="inlineStr">
        <is>
          <t>User Profiles</t>
        </is>
      </c>
      <c r="C187" s="6" t="inlineStr">
        <is>
          <t>/profile</t>
        </is>
      </c>
      <c r="D187" s="6" t="inlineStr">
        <is>
          <t>Profile View &amp; Edit Layout</t>
        </is>
      </c>
      <c r="E187" s="6" t="inlineStr">
        <is>
          <t>Inspect User Profile page layout and personal details form</t>
        </is>
      </c>
      <c r="F187" s="6" t="inlineStr">
        <is>
          <t>User logged in as Buyer or Seller.</t>
        </is>
      </c>
      <c r="G187" s="6" t="inlineStr">
        <is>
          <t>None.</t>
        </is>
      </c>
      <c r="H187" s="6" t="inlineStr">
        <is>
          <t>1. Navigate to /profile.
2. Inspect profile card (Avatar, Display Name, Username, Email, Member Since, Country).
3. Inspect edit form (Bio, Skills, Languages Spoken).</t>
        </is>
      </c>
      <c r="I187" s="6" t="inlineStr">
        <is>
          <t>Profile renders with current user data prefilled; clean typography; avatar with change overlay.</t>
        </is>
      </c>
      <c r="J187" s="7" t="inlineStr">
        <is>
          <t>P1</t>
        </is>
      </c>
      <c r="K187" s="7" t="inlineStr">
        <is>
          <t>UI</t>
        </is>
      </c>
      <c r="L187" s="7" t="inlineStr">
        <is>
          <t>Buyer / Seller</t>
        </is>
      </c>
      <c r="M187" s="7" t="inlineStr">
        <is>
          <t>Desktop</t>
        </is>
      </c>
      <c r="N187" s="7" t="inlineStr">
        <is>
          <t>Not Run</t>
        </is>
      </c>
      <c r="O187" s="6" t="inlineStr"/>
      <c r="P187" s="7" t="inlineStr"/>
      <c r="Q187" s="6" t="inlineStr"/>
      <c r="R187" s="7" t="inlineStr"/>
      <c r="S187" s="6" t="inlineStr">
        <is>
          <t>Profile page layout.</t>
        </is>
      </c>
    </row>
    <row r="188" ht="65" customHeight="1">
      <c r="A188" s="2" t="inlineStr">
        <is>
          <t>PRF-002</t>
        </is>
      </c>
      <c r="B188" s="3" t="inlineStr">
        <is>
          <t>User Profiles</t>
        </is>
      </c>
      <c r="C188" s="3" t="inlineStr">
        <is>
          <t>/profile</t>
        </is>
      </c>
      <c r="D188" s="3" t="inlineStr">
        <is>
          <t>Avatar Image Upload</t>
        </is>
      </c>
      <c r="E188" s="3" t="inlineStr">
        <is>
          <t>Upload new profile avatar picture</t>
        </is>
      </c>
      <c r="F188" s="3" t="inlineStr">
        <is>
          <t>Valid image file (test-avatar.jpg, 400x400).</t>
        </is>
      </c>
      <c r="G188" s="3" t="inlineStr">
        <is>
          <t>File: test-avatar.jpg</t>
        </is>
      </c>
      <c r="H188" s="3" t="inlineStr">
        <is>
          <t>1. On /profile, hover over avatar and click edit/camera icon.
2. Select test-avatar.jpg.
3. Wait for upload to complete.</t>
        </is>
      </c>
      <c r="I188" s="3" t="inlineStr">
        <is>
          <t>Image uploads to CDN; avatar updates in header navbar and profile card immediately without page refresh; profile state synced to userStore.</t>
        </is>
      </c>
      <c r="J188" s="4" t="inlineStr">
        <is>
          <t>P1</t>
        </is>
      </c>
      <c r="K188" s="4" t="inlineStr">
        <is>
          <t>Functional</t>
        </is>
      </c>
      <c r="L188" s="4" t="inlineStr">
        <is>
          <t>Buyer / Seller</t>
        </is>
      </c>
      <c r="M188" s="4" t="inlineStr">
        <is>
          <t>Desktop</t>
        </is>
      </c>
      <c r="N188" s="4" t="inlineStr">
        <is>
          <t>Not Run</t>
        </is>
      </c>
      <c r="O188" s="3" t="inlineStr"/>
      <c r="P188" s="4" t="inlineStr"/>
      <c r="Q188" s="3" t="inlineStr"/>
      <c r="R188" s="4" t="inlineStr"/>
      <c r="S188" s="3" t="inlineStr">
        <is>
          <t>Avatar upload.</t>
        </is>
      </c>
    </row>
    <row r="189" ht="65" customHeight="1">
      <c r="A189" s="5" t="inlineStr">
        <is>
          <t>PRF-003</t>
        </is>
      </c>
      <c r="B189" s="6" t="inlineStr">
        <is>
          <t>User Profiles</t>
        </is>
      </c>
      <c r="C189" s="6" t="inlineStr">
        <is>
          <t>/profile</t>
        </is>
      </c>
      <c r="D189" s="6" t="inlineStr">
        <is>
          <t>Bio &amp; Description Update</t>
        </is>
      </c>
      <c r="E189" s="6" t="inlineStr">
        <is>
          <t>Update user bio and save changes</t>
        </is>
      </c>
      <c r="F189" s="6" t="inlineStr">
        <is>
          <t>User on /profile.</t>
        </is>
      </c>
      <c r="G189" s="6" t="inlineStr">
        <is>
          <t>Bio: 'Senior Fullstack Software Engineer with 8+ years experience building cloud applications.'</t>
        </is>
      </c>
      <c r="H189" s="6" t="inlineStr">
        <is>
          <t>1. In Bio textarea, type new bio text.
2. Click 'Save Profile' / 'Update' button.</t>
        </is>
      </c>
      <c r="I189" s="6" t="inlineStr">
        <is>
          <t>API PATCH /users/profile succeeds (HTTP 200); success toast 'Profile updated successfully' displayed; new bio persisted across reloads.</t>
        </is>
      </c>
      <c r="J189" s="7" t="inlineStr">
        <is>
          <t>P1</t>
        </is>
      </c>
      <c r="K189" s="7" t="inlineStr">
        <is>
          <t>Functional</t>
        </is>
      </c>
      <c r="L189" s="7" t="inlineStr">
        <is>
          <t>Buyer / Seller</t>
        </is>
      </c>
      <c r="M189" s="7" t="inlineStr">
        <is>
          <t>Desktop</t>
        </is>
      </c>
      <c r="N189" s="7" t="inlineStr">
        <is>
          <t>Not Run</t>
        </is>
      </c>
      <c r="O189" s="6" t="inlineStr"/>
      <c r="P189" s="7" t="inlineStr"/>
      <c r="Q189" s="6" t="inlineStr"/>
      <c r="R189" s="7" t="inlineStr"/>
      <c r="S189" s="6" t="inlineStr">
        <is>
          <t>Bio update.</t>
        </is>
      </c>
    </row>
    <row r="190" ht="65" customHeight="1">
      <c r="A190" s="2" t="inlineStr">
        <is>
          <t>PRF-004</t>
        </is>
      </c>
      <c r="B190" s="3" t="inlineStr">
        <is>
          <t>User Profiles</t>
        </is>
      </c>
      <c r="C190" s="3" t="inlineStr">
        <is>
          <t>/profile</t>
        </is>
      </c>
      <c r="D190" s="3" t="inlineStr">
        <is>
          <t>Skills Tags Management</t>
        </is>
      </c>
      <c r="E190" s="3" t="inlineStr">
        <is>
          <t>Add and remove professional skill tags</t>
        </is>
      </c>
      <c r="F190" s="3" t="inlineStr">
        <is>
          <t>User on /profile.</t>
        </is>
      </c>
      <c r="G190" s="3" t="inlineStr">
        <is>
          <t>Skills: ['TypeScript', 'GraphQL', 'TailwindCSS', 'Docker']</t>
        </is>
      </c>
      <c r="H190" s="3" t="inlineStr">
        <is>
          <t>1. In skills input, type 'GraphQL' and press Enter.
2. Add 'Docker'.
3. Click 'x' icon on an existing skill tag to remove it.
4. Click Save.</t>
        </is>
      </c>
      <c r="I190" s="3" t="inlineStr">
        <is>
          <t>Skill chips update in form; saved to user profile; displayed as badges on public profile view.</t>
        </is>
      </c>
      <c r="J190" s="4" t="inlineStr">
        <is>
          <t>P2</t>
        </is>
      </c>
      <c r="K190" s="4" t="inlineStr">
        <is>
          <t>Functional</t>
        </is>
      </c>
      <c r="L190" s="4" t="inlineStr">
        <is>
          <t>Buyer / Seller</t>
        </is>
      </c>
      <c r="M190" s="4" t="inlineStr">
        <is>
          <t>Desktop</t>
        </is>
      </c>
      <c r="N190" s="4" t="inlineStr">
        <is>
          <t>Not Run</t>
        </is>
      </c>
      <c r="O190" s="3" t="inlineStr"/>
      <c r="P190" s="4" t="inlineStr"/>
      <c r="Q190" s="3" t="inlineStr"/>
      <c r="R190" s="4" t="inlineStr"/>
      <c r="S190" s="3" t="inlineStr">
        <is>
          <t>Skills management.</t>
        </is>
      </c>
    </row>
    <row r="191" ht="65" customHeight="1">
      <c r="A191" s="5" t="inlineStr">
        <is>
          <t>PRF-005</t>
        </is>
      </c>
      <c r="B191" s="6" t="inlineStr">
        <is>
          <t>User Profiles</t>
        </is>
      </c>
      <c r="C191" s="6" t="inlineStr">
        <is>
          <t>/profile</t>
        </is>
      </c>
      <c r="D191" s="6" t="inlineStr">
        <is>
          <t>Country Selection with Flag</t>
        </is>
      </c>
      <c r="E191" s="6" t="inlineStr">
        <is>
          <t>Update country of residence and verify flag display</t>
        </is>
      </c>
      <c r="F191" s="6" t="inlineStr">
        <is>
          <t>User on /profile.</t>
        </is>
      </c>
      <c r="G191" s="6" t="inlineStr">
        <is>
          <t>Country: 'Canada' (CA)</t>
        </is>
      </c>
      <c r="H191" s="6" t="inlineStr">
        <is>
          <t>1. Open Country selector dropdown.
2. Search or select 'Canada'.
3. Save profile.</t>
        </is>
      </c>
      <c r="I191" s="6" t="inlineStr">
        <is>
          <t>Dropdown displays national flag icon beside country name; saved to user profile; public profile renders Canada flag.</t>
        </is>
      </c>
      <c r="J191" s="7" t="inlineStr">
        <is>
          <t>P2</t>
        </is>
      </c>
      <c r="K191" s="7" t="inlineStr">
        <is>
          <t>Functional</t>
        </is>
      </c>
      <c r="L191" s="7" t="inlineStr">
        <is>
          <t>Buyer / Seller</t>
        </is>
      </c>
      <c r="M191" s="7" t="inlineStr">
        <is>
          <t>Desktop</t>
        </is>
      </c>
      <c r="N191" s="7" t="inlineStr">
        <is>
          <t>Not Run</t>
        </is>
      </c>
      <c r="O191" s="6" t="inlineStr"/>
      <c r="P191" s="7" t="inlineStr"/>
      <c r="Q191" s="6" t="inlineStr"/>
      <c r="R191" s="7" t="inlineStr"/>
      <c r="S191" s="6" t="inlineStr">
        <is>
          <t>Country flag selector.</t>
        </is>
      </c>
    </row>
    <row r="192" ht="65" customHeight="1">
      <c r="A192" s="2" t="inlineStr">
        <is>
          <t>PRF-006</t>
        </is>
      </c>
      <c r="B192" s="3" t="inlineStr">
        <is>
          <t>User Profiles</t>
        </is>
      </c>
      <c r="C192" s="3" t="inlineStr">
        <is>
          <t>/profile</t>
        </is>
      </c>
      <c r="D192" s="3" t="inlineStr">
        <is>
          <t>Language Proficiencies</t>
        </is>
      </c>
      <c r="E192" s="3" t="inlineStr">
        <is>
          <t>Add spoken language with proficiency level</t>
        </is>
      </c>
      <c r="F192" s="3" t="inlineStr">
        <is>
          <t>User on /profile.</t>
        </is>
      </c>
      <c r="G192" s="3" t="inlineStr">
        <is>
          <t>Language: 'Spanish', Level: 'Conversational'</t>
        </is>
      </c>
      <c r="H192" s="3" t="inlineStr">
        <is>
          <t>1. In Languages section, select language 'Spanish'.
2. Select level 'Conversational'.
3. Click 'Add Language'.
4. Save profile.</t>
        </is>
      </c>
      <c r="I192" s="3" t="inlineStr">
        <is>
          <t>Language badge appears with proficiency indicator; persisted in profile.</t>
        </is>
      </c>
      <c r="J192" s="4" t="inlineStr">
        <is>
          <t>P2</t>
        </is>
      </c>
      <c r="K192" s="4" t="inlineStr">
        <is>
          <t>Functional</t>
        </is>
      </c>
      <c r="L192" s="4" t="inlineStr">
        <is>
          <t>Buyer / Seller</t>
        </is>
      </c>
      <c r="M192" s="4" t="inlineStr">
        <is>
          <t>Desktop</t>
        </is>
      </c>
      <c r="N192" s="4" t="inlineStr">
        <is>
          <t>Not Run</t>
        </is>
      </c>
      <c r="O192" s="3" t="inlineStr"/>
      <c r="P192" s="4" t="inlineStr"/>
      <c r="Q192" s="3" t="inlineStr"/>
      <c r="R192" s="4" t="inlineStr"/>
      <c r="S192" s="3" t="inlineStr">
        <is>
          <t>Language proficiencies.</t>
        </is>
      </c>
    </row>
    <row r="193" ht="65" customHeight="1">
      <c r="A193" s="5" t="inlineStr">
        <is>
          <t>PRF-007</t>
        </is>
      </c>
      <c r="B193" s="6" t="inlineStr">
        <is>
          <t>User Profiles</t>
        </is>
      </c>
      <c r="C193" s="6" t="inlineStr">
        <is>
          <t>/seller/[username]</t>
        </is>
      </c>
      <c r="D193" s="6" t="inlineStr">
        <is>
          <t>Public Seller Profile View</t>
        </is>
      </c>
      <c r="E193" s="6" t="inlineStr">
        <is>
          <t>Inspect public seller profile page as visitor / buyer</t>
        </is>
      </c>
      <c r="F193" s="6" t="inlineStr">
        <is>
          <t>Public seller username exists.</t>
        </is>
      </c>
      <c r="G193" s="6" t="inlineStr">
        <is>
          <t>Username: 'seller_pro'</t>
        </is>
      </c>
      <c r="H193" s="6" t="inlineStr">
        <is>
          <t>1. Navigate to /seller/[username].
2. Inspect avatar, username, star rating, completed orders count, member since, bio, skills badges, country flag.</t>
        </is>
      </c>
      <c r="I193" s="6" t="inlineStr">
        <is>
          <t>Public profile renders complete seller bio and stats; active service packages grid displayed below; 'Contact Me' button visible.</t>
        </is>
      </c>
      <c r="J193" s="7" t="inlineStr">
        <is>
          <t>P1</t>
        </is>
      </c>
      <c r="K193" s="7" t="inlineStr">
        <is>
          <t>UI</t>
        </is>
      </c>
      <c r="L193" s="7" t="inlineStr">
        <is>
          <t>Public / Buyer</t>
        </is>
      </c>
      <c r="M193" s="7" t="inlineStr">
        <is>
          <t>Desktop</t>
        </is>
      </c>
      <c r="N193" s="7" t="inlineStr">
        <is>
          <t>Not Run</t>
        </is>
      </c>
      <c r="O193" s="6" t="inlineStr"/>
      <c r="P193" s="7" t="inlineStr"/>
      <c r="Q193" s="6" t="inlineStr"/>
      <c r="R193" s="7" t="inlineStr"/>
      <c r="S193" s="6" t="inlineStr">
        <is>
          <t>Public seller profile presentation.</t>
        </is>
      </c>
    </row>
    <row r="194" ht="65" customHeight="1">
      <c r="A194" s="2" t="inlineStr">
        <is>
          <t>PRF-008</t>
        </is>
      </c>
      <c r="B194" s="3" t="inlineStr">
        <is>
          <t>User Profiles</t>
        </is>
      </c>
      <c r="C194" s="3" t="inlineStr">
        <is>
          <t>/seller/[username]</t>
        </is>
      </c>
      <c r="D194" s="3" t="inlineStr">
        <is>
          <t>Seller Active Packages Grid</t>
        </is>
      </c>
      <c r="E194" s="3" t="inlineStr">
        <is>
          <t>Verify seller's active packages render on public profile</t>
        </is>
      </c>
      <c r="F194" s="3" t="inlineStr">
        <is>
          <t>Seller has at least 2 active packages.</t>
        </is>
      </c>
      <c r="G194" s="3" t="inlineStr">
        <is>
          <t>None.</t>
        </is>
      </c>
      <c r="H194" s="3" t="inlineStr">
        <is>
          <t>1. On /seller/[username], scroll to 'Packages by [username]' section.
2. Click on a package card.</t>
        </is>
      </c>
      <c r="I194" s="3" t="inlineStr">
        <is>
          <t>Package cards render thumbnail, title, rating, and starting price; clicking navigates directly to /package/[id].</t>
        </is>
      </c>
      <c r="J194" s="4" t="inlineStr">
        <is>
          <t>P1</t>
        </is>
      </c>
      <c r="K194" s="4" t="inlineStr">
        <is>
          <t>Functional</t>
        </is>
      </c>
      <c r="L194" s="4" t="inlineStr">
        <is>
          <t>Public / Buyer</t>
        </is>
      </c>
      <c r="M194" s="4" t="inlineStr">
        <is>
          <t>Desktop</t>
        </is>
      </c>
      <c r="N194" s="4" t="inlineStr">
        <is>
          <t>Not Run</t>
        </is>
      </c>
      <c r="O194" s="3" t="inlineStr"/>
      <c r="P194" s="4" t="inlineStr"/>
      <c r="Q194" s="3" t="inlineStr"/>
      <c r="R194" s="4" t="inlineStr"/>
      <c r="S194" s="3" t="inlineStr">
        <is>
          <t>Seller packages showcase.</t>
        </is>
      </c>
    </row>
    <row r="195" ht="65" customHeight="1">
      <c r="A195" s="5" t="inlineStr">
        <is>
          <t>PRF-009</t>
        </is>
      </c>
      <c r="B195" s="6" t="inlineStr">
        <is>
          <t>User Profiles</t>
        </is>
      </c>
      <c r="C195" s="6" t="inlineStr">
        <is>
          <t>/seller/[username]</t>
        </is>
      </c>
      <c r="D195" s="6" t="inlineStr">
        <is>
          <t>Seller Reviews &amp; Testimonials</t>
        </is>
      </c>
      <c r="E195" s="6" t="inlineStr">
        <is>
          <t>Inspect client reviews on public seller profile</t>
        </is>
      </c>
      <c r="F195" s="6" t="inlineStr">
        <is>
          <t>Seller with client reviews.</t>
        </is>
      </c>
      <c r="G195" s="6" t="inlineStr">
        <is>
          <t>None.</t>
        </is>
      </c>
      <c r="H195" s="6" t="inlineStr">
        <is>
          <t>1. Scroll to Reviews section on /seller/[username].
2. Verify total review count, average star rating, individual reviews with buyer names and dates.</t>
        </is>
      </c>
      <c r="I195" s="6" t="inlineStr">
        <is>
          <t>Reviews load from API; star ratings reflect database values; no dummy 'Lorem ipsum' text.</t>
        </is>
      </c>
      <c r="J195" s="7" t="inlineStr">
        <is>
          <t>P2</t>
        </is>
      </c>
      <c r="K195" s="7" t="inlineStr">
        <is>
          <t>UI</t>
        </is>
      </c>
      <c r="L195" s="7" t="inlineStr">
        <is>
          <t>Public / Buyer</t>
        </is>
      </c>
      <c r="M195" s="7" t="inlineStr">
        <is>
          <t>Desktop</t>
        </is>
      </c>
      <c r="N195" s="7" t="inlineStr">
        <is>
          <t>Not Run</t>
        </is>
      </c>
      <c r="O195" s="6" t="inlineStr"/>
      <c r="P195" s="7" t="inlineStr"/>
      <c r="Q195" s="6" t="inlineStr"/>
      <c r="R195" s="7" t="inlineStr"/>
      <c r="S195" s="6" t="inlineStr">
        <is>
          <t>Public testimonials display.</t>
        </is>
      </c>
    </row>
    <row r="196" ht="65" customHeight="1">
      <c r="A196" s="2" t="inlineStr">
        <is>
          <t>PRF-010</t>
        </is>
      </c>
      <c r="B196" s="3" t="inlineStr">
        <is>
          <t>User Profiles</t>
        </is>
      </c>
      <c r="C196" s="3" t="inlineStr">
        <is>
          <t>/seller/[username]</t>
        </is>
      </c>
      <c r="D196" s="3" t="inlineStr">
        <is>
          <t>Direct Message Trigger</t>
        </is>
      </c>
      <c r="E196" s="3" t="inlineStr">
        <is>
          <t>Click 'Contact Me' button on public seller profile</t>
        </is>
      </c>
      <c r="F196" s="3" t="inlineStr">
        <is>
          <t>User logged in as Buyer; on /seller/[username].</t>
        </is>
      </c>
      <c r="G196" s="3" t="inlineStr">
        <is>
          <t>None.</t>
        </is>
      </c>
      <c r="H196" s="3" t="inlineStr">
        <is>
          <t>1. On /seller/[username], click 'Contact Me' button.</t>
        </is>
      </c>
      <c r="I196" s="3" t="inlineStr">
        <is>
          <t>Opens chat modal or redirects to /message/[sellerId]; pre-populates conversation with target seller.</t>
        </is>
      </c>
      <c r="J196" s="4" t="inlineStr">
        <is>
          <t>P1</t>
        </is>
      </c>
      <c r="K196" s="4" t="inlineStr">
        <is>
          <t>Functional</t>
        </is>
      </c>
      <c r="L196" s="4" t="inlineStr">
        <is>
          <t>Buyer</t>
        </is>
      </c>
      <c r="M196" s="4" t="inlineStr">
        <is>
          <t>Desktop</t>
        </is>
      </c>
      <c r="N196" s="4" t="inlineStr">
        <is>
          <t>Not Run</t>
        </is>
      </c>
      <c r="O196" s="3" t="inlineStr"/>
      <c r="P196" s="4" t="inlineStr"/>
      <c r="Q196" s="3" t="inlineStr"/>
      <c r="R196" s="4" t="inlineStr"/>
      <c r="S196" s="3" t="inlineStr">
        <is>
          <t>Profile messaging trigger.</t>
        </is>
      </c>
    </row>
    <row r="197" ht="65" customHeight="1">
      <c r="A197" s="5" t="inlineStr">
        <is>
          <t>PRF-011</t>
        </is>
      </c>
      <c r="B197" s="6" t="inlineStr">
        <is>
          <t>User Profiles</t>
        </is>
      </c>
      <c r="C197" s="6" t="inlineStr">
        <is>
          <t>/seller/[username]</t>
        </is>
      </c>
      <c r="D197" s="6" t="inlineStr">
        <is>
          <t>Non-Existent Seller Profile</t>
        </is>
      </c>
      <c r="E197" s="6" t="inlineStr">
        <is>
          <t>Attempt to access profile of non-existent username</t>
        </is>
      </c>
      <c r="F197" s="6" t="inlineStr">
        <is>
          <t>None.</t>
        </is>
      </c>
      <c r="G197" s="6" t="inlineStr">
        <is>
          <t>URL: /seller/non_existent_username_xyz999</t>
        </is>
      </c>
      <c r="H197" s="6" t="inlineStr">
        <is>
          <t>1. Navigate to /seller/non_existent_username_xyz999.</t>
        </is>
      </c>
      <c r="I197" s="6" t="inlineStr">
        <is>
          <t>Application renders clean 404 / 'Seller profile not found' page with CTA to return to marketplace; no application crash.</t>
        </is>
      </c>
      <c r="J197" s="7" t="inlineStr">
        <is>
          <t>P2</t>
        </is>
      </c>
      <c r="K197" s="7" t="inlineStr">
        <is>
          <t>Negative</t>
        </is>
      </c>
      <c r="L197" s="7" t="inlineStr">
        <is>
          <t>Public</t>
        </is>
      </c>
      <c r="M197" s="7" t="inlineStr">
        <is>
          <t>Desktop</t>
        </is>
      </c>
      <c r="N197" s="7" t="inlineStr">
        <is>
          <t>Not Run</t>
        </is>
      </c>
      <c r="O197" s="6" t="inlineStr"/>
      <c r="P197" s="7" t="inlineStr"/>
      <c r="Q197" s="6" t="inlineStr"/>
      <c r="R197" s="7" t="inlineStr"/>
      <c r="S197" s="6" t="inlineStr">
        <is>
          <t>Non-existent profile handling.</t>
        </is>
      </c>
    </row>
    <row r="198" ht="65" customHeight="1">
      <c r="A198" s="2" t="inlineStr">
        <is>
          <t>PRF-012</t>
        </is>
      </c>
      <c r="B198" s="3" t="inlineStr">
        <is>
          <t>User Profiles</t>
        </is>
      </c>
      <c r="C198" s="3" t="inlineStr">
        <is>
          <t>/profile</t>
        </is>
      </c>
      <c r="D198" s="3" t="inlineStr">
        <is>
          <t>Guest Profile Route Guard</t>
        </is>
      </c>
      <c r="E198" s="3" t="inlineStr">
        <is>
          <t>Attempt to access /profile as unauthenticated Guest</t>
        </is>
      </c>
      <c r="F198" s="3" t="inlineStr">
        <is>
          <t>User logged out.</t>
        </is>
      </c>
      <c r="G198" s="3" t="inlineStr">
        <is>
          <t>None.</t>
        </is>
      </c>
      <c r="H198" s="3" t="inlineStr">
        <is>
          <t>1. Navigate to /profile.</t>
        </is>
      </c>
      <c r="I198" s="3" t="inlineStr">
        <is>
          <t>Proxy intercepts request; redirects user to /login?redirect=/profile.</t>
        </is>
      </c>
      <c r="J198" s="4" t="inlineStr">
        <is>
          <t>P1</t>
        </is>
      </c>
      <c r="K198" s="4" t="inlineStr">
        <is>
          <t>Security</t>
        </is>
      </c>
      <c r="L198" s="4" t="inlineStr">
        <is>
          <t>Guest</t>
        </is>
      </c>
      <c r="M198" s="4" t="inlineStr">
        <is>
          <t>Desktop</t>
        </is>
      </c>
      <c r="N198" s="4" t="inlineStr">
        <is>
          <t>Not Run</t>
        </is>
      </c>
      <c r="O198" s="3" t="inlineStr"/>
      <c r="P198" s="4" t="inlineStr"/>
      <c r="Q198" s="3" t="inlineStr"/>
      <c r="R198" s="4" t="inlineStr"/>
      <c r="S198" s="3" t="inlineStr">
        <is>
          <t>Profile authentication guard.</t>
        </is>
      </c>
    </row>
    <row r="199" ht="65" customHeight="1">
      <c r="A199" s="5" t="inlineStr">
        <is>
          <t>NOT-001</t>
        </is>
      </c>
      <c r="B199" s="6" t="inlineStr">
        <is>
          <t>Notifications System</t>
        </is>
      </c>
      <c r="C199" s="6" t="inlineStr">
        <is>
          <t>Global Navigation</t>
        </is>
      </c>
      <c r="D199" s="6" t="inlineStr">
        <is>
          <t>Notification Bell &amp; Badge</t>
        </is>
      </c>
      <c r="E199" s="6" t="inlineStr">
        <is>
          <t>Verify notification bell icon and unread count badge in header</t>
        </is>
      </c>
      <c r="F199" s="6" t="inlineStr">
        <is>
          <t>User logged in with unread notifications.</t>
        </is>
      </c>
      <c r="G199" s="6" t="inlineStr">
        <is>
          <t>None.</t>
        </is>
      </c>
      <c r="H199" s="6" t="inlineStr">
        <is>
          <t>1. Inspect top navigation bar.
2. Verify bell icon.
3. Check unread count badge (e.g. '3').</t>
        </is>
      </c>
      <c r="I199" s="6" t="inlineStr">
        <is>
          <t>Bell icon is clearly visible; badge displays numeric count of unread notifications; styled with brand green or red accent.</t>
        </is>
      </c>
      <c r="J199" s="7" t="inlineStr">
        <is>
          <t>P1</t>
        </is>
      </c>
      <c r="K199" s="7" t="inlineStr">
        <is>
          <t>UI</t>
        </is>
      </c>
      <c r="L199" s="7" t="inlineStr">
        <is>
          <t>Buyer / Seller</t>
        </is>
      </c>
      <c r="M199" s="7" t="inlineStr">
        <is>
          <t>Desktop</t>
        </is>
      </c>
      <c r="N199" s="7" t="inlineStr">
        <is>
          <t>Not Run</t>
        </is>
      </c>
      <c r="O199" s="6" t="inlineStr"/>
      <c r="P199" s="7" t="inlineStr"/>
      <c r="Q199" s="6" t="inlineStr"/>
      <c r="R199" s="7" t="inlineStr"/>
      <c r="S199" s="6" t="inlineStr">
        <is>
          <t>Notification bell icon.</t>
        </is>
      </c>
    </row>
    <row r="200" ht="65" customHeight="1">
      <c r="A200" s="2" t="inlineStr">
        <is>
          <t>NOT-002</t>
        </is>
      </c>
      <c r="B200" s="3" t="inlineStr">
        <is>
          <t>Notifications System</t>
        </is>
      </c>
      <c r="C200" s="3" t="inlineStr">
        <is>
          <t>Global Navigation</t>
        </is>
      </c>
      <c r="D200" s="3" t="inlineStr">
        <is>
          <t>Notification Dropdown Preview</t>
        </is>
      </c>
      <c r="E200" s="3" t="inlineStr">
        <is>
          <t>Click notification bell to open quick preview dropdown</t>
        </is>
      </c>
      <c r="F200" s="3" t="inlineStr">
        <is>
          <t>User logged in with notifications.</t>
        </is>
      </c>
      <c r="G200" s="3" t="inlineStr">
        <is>
          <t>None.</t>
        </is>
      </c>
      <c r="H200" s="3" t="inlineStr">
        <is>
          <t>1. Click bell icon in header navbar.
2. Inspect dropdown menu.</t>
        </is>
      </c>
      <c r="I200" s="3" t="inlineStr">
        <is>
          <t>Dropdown opens with recent 5 notifications; shows sender avatar, event title, time ago ('2 hours ago'); link to 'View All Notifications'.</t>
        </is>
      </c>
      <c r="J200" s="4" t="inlineStr">
        <is>
          <t>P2</t>
        </is>
      </c>
      <c r="K200" s="4" t="inlineStr">
        <is>
          <t>UI</t>
        </is>
      </c>
      <c r="L200" s="4" t="inlineStr">
        <is>
          <t>Buyer / Seller</t>
        </is>
      </c>
      <c r="M200" s="4" t="inlineStr">
        <is>
          <t>Desktop</t>
        </is>
      </c>
      <c r="N200" s="4" t="inlineStr">
        <is>
          <t>Not Run</t>
        </is>
      </c>
      <c r="O200" s="3" t="inlineStr"/>
      <c r="P200" s="4" t="inlineStr"/>
      <c r="Q200" s="3" t="inlineStr"/>
      <c r="R200" s="4" t="inlineStr"/>
      <c r="S200" s="3" t="inlineStr">
        <is>
          <t>Notification dropdown.</t>
        </is>
      </c>
    </row>
    <row r="201" ht="65" customHeight="1">
      <c r="A201" s="5" t="inlineStr">
        <is>
          <t>NOT-003</t>
        </is>
      </c>
      <c r="B201" s="6" t="inlineStr">
        <is>
          <t>Notifications System</t>
        </is>
      </c>
      <c r="C201" s="6" t="inlineStr">
        <is>
          <t>/notifications</t>
        </is>
      </c>
      <c r="D201" s="6" t="inlineStr">
        <is>
          <t>Dedicated Notifications Page</t>
        </is>
      </c>
      <c r="E201" s="6" t="inlineStr">
        <is>
          <t>Navigate to dedicated /notifications page and inspect layout</t>
        </is>
      </c>
      <c r="F201" s="6" t="inlineStr">
        <is>
          <t>User logged in.</t>
        </is>
      </c>
      <c r="G201" s="6" t="inlineStr">
        <is>
          <t>None.</t>
        </is>
      </c>
      <c r="H201" s="6" t="inlineStr">
        <is>
          <t>1. Navigate to /notifications (or click 'View All' in dropdown).
2. Inspect filter tabs (All, Unread, Orders, Messages) and notification list.</t>
        </is>
      </c>
      <c r="I201" s="6" t="inlineStr">
        <is>
          <t>Dedicated notifications center loads cleanly; items grouped by date (Today, Yesterday, Older).</t>
        </is>
      </c>
      <c r="J201" s="7" t="inlineStr">
        <is>
          <t>P1</t>
        </is>
      </c>
      <c r="K201" s="7" t="inlineStr">
        <is>
          <t>UI</t>
        </is>
      </c>
      <c r="L201" s="7" t="inlineStr">
        <is>
          <t>Buyer / Seller</t>
        </is>
      </c>
      <c r="M201" s="7" t="inlineStr">
        <is>
          <t>Desktop</t>
        </is>
      </c>
      <c r="N201" s="7" t="inlineStr">
        <is>
          <t>Not Run</t>
        </is>
      </c>
      <c r="O201" s="6" t="inlineStr"/>
      <c r="P201" s="7" t="inlineStr"/>
      <c r="Q201" s="6" t="inlineStr"/>
      <c r="R201" s="7" t="inlineStr"/>
      <c r="S201" s="6" t="inlineStr">
        <is>
          <t>Notifications center page.</t>
        </is>
      </c>
    </row>
    <row r="202" ht="65" customHeight="1">
      <c r="A202" s="2" t="inlineStr">
        <is>
          <t>NOT-004</t>
        </is>
      </c>
      <c r="B202" s="3" t="inlineStr">
        <is>
          <t>Notifications System</t>
        </is>
      </c>
      <c r="C202" s="3" t="inlineStr">
        <is>
          <t>/notifications</t>
        </is>
      </c>
      <c r="D202" s="3" t="inlineStr">
        <is>
          <t>Filter Notifications by Category</t>
        </is>
      </c>
      <c r="E202" s="3" t="inlineStr">
        <is>
          <t>Filter notifications using 'Orders' and 'Messages' pills</t>
        </is>
      </c>
      <c r="F202" s="3" t="inlineStr">
        <is>
          <t>User has notifications of multiple types.</t>
        </is>
      </c>
      <c r="G202" s="3" t="inlineStr">
        <is>
          <t>None.</t>
        </is>
      </c>
      <c r="H202" s="3" t="inlineStr">
        <is>
          <t>1. On /notifications, click 'Orders' filter pill.
2. Click 'Messages' filter pill.
3. Click 'Unread' pill.</t>
        </is>
      </c>
      <c r="I202" s="3" t="inlineStr">
        <is>
          <t>List updates dynamically; only notifications matching active filter are displayed; tab count matches visible rows.</t>
        </is>
      </c>
      <c r="J202" s="4" t="inlineStr">
        <is>
          <t>P2</t>
        </is>
      </c>
      <c r="K202" s="4" t="inlineStr">
        <is>
          <t>Functional</t>
        </is>
      </c>
      <c r="L202" s="4" t="inlineStr">
        <is>
          <t>Buyer / Seller</t>
        </is>
      </c>
      <c r="M202" s="4" t="inlineStr">
        <is>
          <t>Desktop</t>
        </is>
      </c>
      <c r="N202" s="4" t="inlineStr">
        <is>
          <t>Not Run</t>
        </is>
      </c>
      <c r="O202" s="3" t="inlineStr"/>
      <c r="P202" s="4" t="inlineStr"/>
      <c r="Q202" s="3" t="inlineStr"/>
      <c r="R202" s="4" t="inlineStr"/>
      <c r="S202" s="3" t="inlineStr">
        <is>
          <t>Notification category filtering.</t>
        </is>
      </c>
    </row>
    <row r="203" ht="65" customHeight="1">
      <c r="A203" s="5" t="inlineStr">
        <is>
          <t>NOT-005</t>
        </is>
      </c>
      <c r="B203" s="6" t="inlineStr">
        <is>
          <t>Notifications System</t>
        </is>
      </c>
      <c r="C203" s="6" t="inlineStr">
        <is>
          <t>/notifications</t>
        </is>
      </c>
      <c r="D203" s="6" t="inlineStr">
        <is>
          <t>Mark All as Read Action</t>
        </is>
      </c>
      <c r="E203" s="6" t="inlineStr">
        <is>
          <t>Click 'Mark all as read' button to clear unread notifications</t>
        </is>
      </c>
      <c r="F203" s="6" t="inlineStr">
        <is>
          <t>User has unread notifications.</t>
        </is>
      </c>
      <c r="G203" s="6" t="inlineStr">
        <is>
          <t>None.</t>
        </is>
      </c>
      <c r="H203" s="6" t="inlineStr">
        <is>
          <t>1. On /notifications, locate 'Mark all as read' button.
2. Click button.</t>
        </is>
      </c>
      <c r="I203" s="6" t="inlineStr">
        <is>
          <t>API POST/PATCH /notifications/mark-read-all succeeds; all notification rows update to read styling (unbolded); header unread badge disappears.</t>
        </is>
      </c>
      <c r="J203" s="7" t="inlineStr">
        <is>
          <t>P1</t>
        </is>
      </c>
      <c r="K203" s="7" t="inlineStr">
        <is>
          <t>Functional</t>
        </is>
      </c>
      <c r="L203" s="7" t="inlineStr">
        <is>
          <t>Buyer / Seller</t>
        </is>
      </c>
      <c r="M203" s="7" t="inlineStr">
        <is>
          <t>Desktop</t>
        </is>
      </c>
      <c r="N203" s="7" t="inlineStr">
        <is>
          <t>Not Run</t>
        </is>
      </c>
      <c r="O203" s="6" t="inlineStr"/>
      <c r="P203" s="7" t="inlineStr"/>
      <c r="Q203" s="6" t="inlineStr"/>
      <c r="R203" s="7" t="inlineStr"/>
      <c r="S203" s="6" t="inlineStr">
        <is>
          <t>Mark all notifications read.</t>
        </is>
      </c>
    </row>
    <row r="204" ht="65" customHeight="1">
      <c r="A204" s="2" t="inlineStr">
        <is>
          <t>NOT-006</t>
        </is>
      </c>
      <c r="B204" s="3" t="inlineStr">
        <is>
          <t>Notifications System</t>
        </is>
      </c>
      <c r="C204" s="3" t="inlineStr">
        <is>
          <t>/notifications</t>
        </is>
      </c>
      <c r="D204" s="3" t="inlineStr">
        <is>
          <t>Mark Single Item Read</t>
        </is>
      </c>
      <c r="E204" s="3" t="inlineStr">
        <is>
          <t>Click a notification item to mark it read and navigate to target entity</t>
        </is>
      </c>
      <c r="F204" s="3" t="inlineStr">
        <is>
          <t>User has unread order notification.</t>
        </is>
      </c>
      <c r="G204" s="3" t="inlineStr">
        <is>
          <t>Notification linking to /orders/[id].</t>
        </is>
      </c>
      <c r="H204" s="3" t="inlineStr">
        <is>
          <t>1. Click on unread notification row.</t>
        </is>
      </c>
      <c r="I204" s="3" t="inlineStr">
        <is>
          <t>Notification marked read; unread count decrements by 1; browser navigates directly to corresponding order workspace /orders/[id].</t>
        </is>
      </c>
      <c r="J204" s="4" t="inlineStr">
        <is>
          <t>P1</t>
        </is>
      </c>
      <c r="K204" s="4" t="inlineStr">
        <is>
          <t>Functional</t>
        </is>
      </c>
      <c r="L204" s="4" t="inlineStr">
        <is>
          <t>Buyer / Seller</t>
        </is>
      </c>
      <c r="M204" s="4" t="inlineStr">
        <is>
          <t>Desktop</t>
        </is>
      </c>
      <c r="N204" s="4" t="inlineStr">
        <is>
          <t>Not Run</t>
        </is>
      </c>
      <c r="O204" s="3" t="inlineStr"/>
      <c r="P204" s="4" t="inlineStr"/>
      <c r="Q204" s="3" t="inlineStr"/>
      <c r="R204" s="4" t="inlineStr"/>
      <c r="S204" s="3" t="inlineStr">
        <is>
          <t>Deep-link notification navigation.</t>
        </is>
      </c>
    </row>
    <row r="205" ht="65" customHeight="1">
      <c r="A205" s="5" t="inlineStr">
        <is>
          <t>NOT-007</t>
        </is>
      </c>
      <c r="B205" s="6" t="inlineStr">
        <is>
          <t>Notifications System</t>
        </is>
      </c>
      <c r="C205" s="6" t="inlineStr">
        <is>
          <t>Global Navigation</t>
        </is>
      </c>
      <c r="D205" s="6" t="inlineStr">
        <is>
          <t>Real-Time Socket Notification</t>
        </is>
      </c>
      <c r="E205" s="6" t="inlineStr">
        <is>
          <t>Receive notification in real-time via Socket.io while browsing another page</t>
        </is>
      </c>
      <c r="F205" s="6" t="inlineStr">
        <is>
          <t>User A browsing /packages; User B places an order or sends a message.</t>
        </is>
      </c>
      <c r="G205" s="6" t="inlineStr">
        <is>
          <t>None.</t>
        </is>
      </c>
      <c r="H205" s="6" t="inlineStr">
        <is>
          <t>1. Trigger notification event from backend / User B.
2. Observe User A's browser.</t>
        </is>
      </c>
      <c r="I205" s="6" t="inlineStr">
        <is>
          <t>Toast alert pops up ('New order received' / 'New message from [User]'); notification bell badge increments (+1) without page refresh.</t>
        </is>
      </c>
      <c r="J205" s="7" t="inlineStr">
        <is>
          <t>P1</t>
        </is>
      </c>
      <c r="K205" s="7" t="inlineStr">
        <is>
          <t>Integration</t>
        </is>
      </c>
      <c r="L205" s="7" t="inlineStr">
        <is>
          <t>Buyer / Seller</t>
        </is>
      </c>
      <c r="M205" s="7" t="inlineStr">
        <is>
          <t>Desktop</t>
        </is>
      </c>
      <c r="N205" s="7" t="inlineStr">
        <is>
          <t>Not Run</t>
        </is>
      </c>
      <c r="O205" s="6" t="inlineStr"/>
      <c r="P205" s="7" t="inlineStr"/>
      <c r="Q205" s="6" t="inlineStr"/>
      <c r="R205" s="7" t="inlineStr"/>
      <c r="S205" s="6" t="inlineStr">
        <is>
          <t>Real-time socket notification.</t>
        </is>
      </c>
    </row>
    <row r="206" ht="65" customHeight="1">
      <c r="A206" s="2" t="inlineStr">
        <is>
          <t>NOT-008</t>
        </is>
      </c>
      <c r="B206" s="3" t="inlineStr">
        <is>
          <t>Notifications System</t>
        </is>
      </c>
      <c r="C206" s="3" t="inlineStr">
        <is>
          <t>/notifications</t>
        </is>
      </c>
      <c r="D206" s="3" t="inlineStr">
        <is>
          <t>Empty Notifications State</t>
        </is>
      </c>
      <c r="E206" s="3" t="inlineStr">
        <is>
          <t>Verify empty state on /notifications when no notifications exist</t>
        </is>
      </c>
      <c r="F206" s="3" t="inlineStr">
        <is>
          <t>New user account with zero notifications.</t>
        </is>
      </c>
      <c r="G206" s="3" t="inlineStr">
        <is>
          <t>None.</t>
        </is>
      </c>
      <c r="H206" s="3" t="inlineStr">
        <is>
          <t>1. Navigate to /notifications.</t>
        </is>
      </c>
      <c r="I206" s="3" t="inlineStr">
        <is>
          <t>Clean empty state displays ('You have no notifications right now') with friendly bell graphic; zero layout errors.</t>
        </is>
      </c>
      <c r="J206" s="4" t="inlineStr">
        <is>
          <t>P3</t>
        </is>
      </c>
      <c r="K206" s="4" t="inlineStr">
        <is>
          <t>UI</t>
        </is>
      </c>
      <c r="L206" s="4" t="inlineStr">
        <is>
          <t>Buyer / Seller</t>
        </is>
      </c>
      <c r="M206" s="4" t="inlineStr">
        <is>
          <t>Desktop</t>
        </is>
      </c>
      <c r="N206" s="4" t="inlineStr">
        <is>
          <t>Not Run</t>
        </is>
      </c>
      <c r="O206" s="3" t="inlineStr"/>
      <c r="P206" s="4" t="inlineStr"/>
      <c r="Q206" s="3" t="inlineStr"/>
      <c r="R206" s="4" t="inlineStr"/>
      <c r="S206" s="3" t="inlineStr">
        <is>
          <t>Empty notifications UX.</t>
        </is>
      </c>
    </row>
    <row r="207" ht="65" customHeight="1">
      <c r="A207" s="5" t="inlineStr">
        <is>
          <t>NOT-009</t>
        </is>
      </c>
      <c r="B207" s="6" t="inlineStr">
        <is>
          <t>Notifications System</t>
        </is>
      </c>
      <c r="C207" s="6" t="inlineStr">
        <is>
          <t>/notifications</t>
        </is>
      </c>
      <c r="D207" s="6" t="inlineStr">
        <is>
          <t>Delete Notification Action</t>
        </is>
      </c>
      <c r="E207" s="6" t="inlineStr">
        <is>
          <t>Dismiss or delete single notification from list</t>
        </is>
      </c>
      <c r="F207" s="6" t="inlineStr">
        <is>
          <t>Notification exists in list.</t>
        </is>
      </c>
      <c r="G207" s="6" t="inlineStr">
        <is>
          <t>None.</t>
        </is>
      </c>
      <c r="H207" s="6" t="inlineStr">
        <is>
          <t>1. Hover over notification item.
2. Click 'x' / trash icon.
3. Confirm action.</t>
        </is>
      </c>
      <c r="I207" s="6" t="inlineStr">
        <is>
          <t>Notification deleted from database (DELETE /notifications/:id); row fades out and removes from list.</t>
        </is>
      </c>
      <c r="J207" s="7" t="inlineStr">
        <is>
          <t>P3</t>
        </is>
      </c>
      <c r="K207" s="7" t="inlineStr">
        <is>
          <t>Functional</t>
        </is>
      </c>
      <c r="L207" s="7" t="inlineStr">
        <is>
          <t>Buyer / Seller</t>
        </is>
      </c>
      <c r="M207" s="7" t="inlineStr">
        <is>
          <t>Desktop</t>
        </is>
      </c>
      <c r="N207" s="7" t="inlineStr">
        <is>
          <t>Not Run</t>
        </is>
      </c>
      <c r="O207" s="6" t="inlineStr"/>
      <c r="P207" s="7" t="inlineStr"/>
      <c r="Q207" s="6" t="inlineStr"/>
      <c r="R207" s="7" t="inlineStr"/>
      <c r="S207" s="6" t="inlineStr">
        <is>
          <t>Notification deletion.</t>
        </is>
      </c>
    </row>
    <row r="208" ht="65" customHeight="1">
      <c r="A208" s="2" t="inlineStr">
        <is>
          <t>NOT-010</t>
        </is>
      </c>
      <c r="B208" s="3" t="inlineStr">
        <is>
          <t>Notifications System</t>
        </is>
      </c>
      <c r="C208" s="3" t="inlineStr">
        <is>
          <t>/notifications</t>
        </is>
      </c>
      <c r="D208" s="3" t="inlineStr">
        <is>
          <t>Guest Access Restriction</t>
        </is>
      </c>
      <c r="E208" s="3" t="inlineStr">
        <is>
          <t>Attempt to access /notifications as unauthenticated Guest</t>
        </is>
      </c>
      <c r="F208" s="3" t="inlineStr">
        <is>
          <t>User logged out.</t>
        </is>
      </c>
      <c r="G208" s="3" t="inlineStr">
        <is>
          <t>None.</t>
        </is>
      </c>
      <c r="H208" s="3" t="inlineStr">
        <is>
          <t>1. Navigate to /notifications.</t>
        </is>
      </c>
      <c r="I208" s="3" t="inlineStr">
        <is>
          <t>Proxy intercepts request; redirects user to /login?redirect=/notifications.</t>
        </is>
      </c>
      <c r="J208" s="4" t="inlineStr">
        <is>
          <t>P1</t>
        </is>
      </c>
      <c r="K208" s="4" t="inlineStr">
        <is>
          <t>Security</t>
        </is>
      </c>
      <c r="L208" s="4" t="inlineStr">
        <is>
          <t>Guest</t>
        </is>
      </c>
      <c r="M208" s="4" t="inlineStr">
        <is>
          <t>Desktop</t>
        </is>
      </c>
      <c r="N208" s="4" t="inlineStr">
        <is>
          <t>Not Run</t>
        </is>
      </c>
      <c r="O208" s="3" t="inlineStr"/>
      <c r="P208" s="4" t="inlineStr"/>
      <c r="Q208" s="3" t="inlineStr"/>
      <c r="R208" s="4" t="inlineStr"/>
      <c r="S208" s="3" t="inlineStr">
        <is>
          <t>Guest notifications protection.</t>
        </is>
      </c>
    </row>
    <row r="209" ht="65" customHeight="1">
      <c r="A209" s="5" t="inlineStr">
        <is>
          <t>UI-001</t>
        </is>
      </c>
      <c r="B209" s="6" t="inlineStr">
        <is>
          <t>UI &amp; Responsive</t>
        </is>
      </c>
      <c r="C209" s="6" t="inlineStr">
        <is>
          <t>/</t>
        </is>
      </c>
      <c r="D209" s="6" t="inlineStr">
        <is>
          <t>Mobile Viewport (390x844) Audit</t>
        </is>
      </c>
      <c r="E209" s="6" t="inlineStr">
        <is>
          <t>Inspect Homepage on mobile viewport for horizontal overflow and layout reflow</t>
        </is>
      </c>
      <c r="F209" s="6" t="inlineStr">
        <is>
          <t>Mobile viewport emulation (390 x 844 px).</t>
        </is>
      </c>
      <c r="G209" s="6" t="inlineStr">
        <is>
          <t>None.</t>
        </is>
      </c>
      <c r="H209" s="6" t="inlineStr">
        <is>
          <t>1. Set viewport to 390x844.
2. Navigate to /.
3. Scroll from header to footer.
4. Check for horizontal scroll (document.documentElement.scrollWidth &gt; window.innerWidth).</t>
        </is>
      </c>
      <c r="I209" s="6" t="inlineStr">
        <is>
          <t>Zero horizontal overflow; hero typography wraps cleanly; category and gig sliders adjust to touch swipe; mobile header sticky.</t>
        </is>
      </c>
      <c r="J209" s="7" t="inlineStr">
        <is>
          <t>P1</t>
        </is>
      </c>
      <c r="K209" s="7" t="inlineStr">
        <is>
          <t>Responsive</t>
        </is>
      </c>
      <c r="L209" s="7" t="inlineStr">
        <is>
          <t>Public</t>
        </is>
      </c>
      <c r="M209" s="7" t="inlineStr">
        <is>
          <t>Mobile</t>
        </is>
      </c>
      <c r="N209" s="7" t="inlineStr">
        <is>
          <t>Not Run</t>
        </is>
      </c>
      <c r="O209" s="6" t="inlineStr"/>
      <c r="P209" s="7" t="inlineStr"/>
      <c r="Q209" s="6" t="inlineStr"/>
      <c r="R209" s="7" t="inlineStr"/>
      <c r="S209" s="6" t="inlineStr">
        <is>
          <t>Mobile viewport zero-overflow check.</t>
        </is>
      </c>
    </row>
    <row r="210" ht="65" customHeight="1">
      <c r="A210" s="2" t="inlineStr">
        <is>
          <t>UI-002</t>
        </is>
      </c>
      <c r="B210" s="3" t="inlineStr">
        <is>
          <t>UI &amp; Responsive</t>
        </is>
      </c>
      <c r="C210" s="3" t="inlineStr">
        <is>
          <t>Global Navigation</t>
        </is>
      </c>
      <c r="D210" s="3" t="inlineStr">
        <is>
          <t>Mobile Hamburger Menu Drawer</t>
        </is>
      </c>
      <c r="E210" s="3" t="inlineStr">
        <is>
          <t>Open and close mobile navigation drawer</t>
        </is>
      </c>
      <c r="F210" s="3" t="inlineStr">
        <is>
          <t>Mobile viewport (390x844).</t>
        </is>
      </c>
      <c r="G210" s="3" t="inlineStr">
        <is>
          <t>None.</t>
        </is>
      </c>
      <c r="H210" s="3" t="inlineStr">
        <is>
          <t>1. On mobile viewport, click hamburger menu icon in top navbar.
2. Verify drawer animation.
3. Click navigation links (Categories, Orders, Messages).
4. Click close ('x') icon.</t>
        </is>
      </c>
      <c r="I210" s="3" t="inlineStr">
        <is>
          <t>Drawer slides in smoothly from side; links are well-spaced with minimum 44px tap targets; clicking 'x' or backdrop closes drawer.</t>
        </is>
      </c>
      <c r="J210" s="4" t="inlineStr">
        <is>
          <t>P1</t>
        </is>
      </c>
      <c r="K210" s="4" t="inlineStr">
        <is>
          <t>Responsive</t>
        </is>
      </c>
      <c r="L210" s="4" t="inlineStr">
        <is>
          <t>Public / Buyer</t>
        </is>
      </c>
      <c r="M210" s="4" t="inlineStr">
        <is>
          <t>Mobile</t>
        </is>
      </c>
      <c r="N210" s="4" t="inlineStr">
        <is>
          <t>Not Run</t>
        </is>
      </c>
      <c r="O210" s="3" t="inlineStr"/>
      <c r="P210" s="4" t="inlineStr"/>
      <c r="Q210" s="3" t="inlineStr"/>
      <c r="R210" s="4" t="inlineStr"/>
      <c r="S210" s="3" t="inlineStr">
        <is>
          <t>Mobile navigation drawer.</t>
        </is>
      </c>
    </row>
    <row r="211" ht="65" customHeight="1">
      <c r="A211" s="5" t="inlineStr">
        <is>
          <t>UI-003</t>
        </is>
      </c>
      <c r="B211" s="6" t="inlineStr">
        <is>
          <t>UI &amp; Responsive</t>
        </is>
      </c>
      <c r="C211" s="6" t="inlineStr">
        <is>
          <t>/packages</t>
        </is>
      </c>
      <c r="D211" s="6" t="inlineStr">
        <is>
          <t>Tablet Viewport (768x1024) Audit</t>
        </is>
      </c>
      <c r="E211" s="6" t="inlineStr">
        <is>
          <t>Inspect Service Packages catalog grid on iPad tablet viewport</t>
        </is>
      </c>
      <c r="F211" s="6" t="inlineStr">
        <is>
          <t>Tablet viewport (768 x 1024 px).</t>
        </is>
      </c>
      <c r="G211" s="6" t="inlineStr">
        <is>
          <t>None.</t>
        </is>
      </c>
      <c r="H211" s="6" t="inlineStr">
        <is>
          <t>1. Set viewport to 768x1024.
2. Navigate to /packages.
3. Inspect category bar, filter dropdowns, and package cards grid.</t>
        </is>
      </c>
      <c r="I211" s="6" t="inlineStr">
        <is>
          <t>Package cards reflow to clean 2-column grid; filters collapse into accessible filter drawer or top bar; no clipped text.</t>
        </is>
      </c>
      <c r="J211" s="7" t="inlineStr">
        <is>
          <t>P1</t>
        </is>
      </c>
      <c r="K211" s="7" t="inlineStr">
        <is>
          <t>Responsive</t>
        </is>
      </c>
      <c r="L211" s="7" t="inlineStr">
        <is>
          <t>Public / Buyer</t>
        </is>
      </c>
      <c r="M211" s="7" t="inlineStr">
        <is>
          <t>Tablet</t>
        </is>
      </c>
      <c r="N211" s="7" t="inlineStr">
        <is>
          <t>Not Run</t>
        </is>
      </c>
      <c r="O211" s="6" t="inlineStr"/>
      <c r="P211" s="7" t="inlineStr"/>
      <c r="Q211" s="6" t="inlineStr"/>
      <c r="R211" s="7" t="inlineStr"/>
      <c r="S211" s="6" t="inlineStr">
        <is>
          <t>Tablet grid responsiveness.</t>
        </is>
      </c>
    </row>
    <row r="212" ht="65" customHeight="1">
      <c r="A212" s="2" t="inlineStr">
        <is>
          <t>UI-004</t>
        </is>
      </c>
      <c r="B212" s="3" t="inlineStr">
        <is>
          <t>UI &amp; Responsive</t>
        </is>
      </c>
      <c r="C212" s="3" t="inlineStr">
        <is>
          <t>/package/[id]</t>
        </is>
      </c>
      <c r="D212" s="3" t="inlineStr">
        <is>
          <t>Mobile Sticky Checkout Bar</t>
        </is>
      </c>
      <c r="E212" s="3" t="inlineStr">
        <is>
          <t>Verify mobile bottom sticky checkout bar on package detail page</t>
        </is>
      </c>
      <c r="F212" s="3" t="inlineStr">
        <is>
          <t>Mobile viewport (390x844); viewing /package/[id].</t>
        </is>
      </c>
      <c r="G212" s="3" t="inlineStr">
        <is>
          <t>None.</t>
        </is>
      </c>
      <c r="H212" s="3" t="inlineStr">
        <is>
          <t>1. On mobile, navigate to /package/[id].
2. Scroll down past pricing section.</t>
        </is>
      </c>
      <c r="I212" s="3" t="inlineStr">
        <is>
          <t>Bottom sticky action bar appears with package price and 'Continue' button; stays visible above mobile browser chrome.</t>
        </is>
      </c>
      <c r="J212" s="4" t="inlineStr">
        <is>
          <t>P1</t>
        </is>
      </c>
      <c r="K212" s="4" t="inlineStr">
        <is>
          <t>Responsive</t>
        </is>
      </c>
      <c r="L212" s="4" t="inlineStr">
        <is>
          <t>Public / Buyer</t>
        </is>
      </c>
      <c r="M212" s="4" t="inlineStr">
        <is>
          <t>Mobile</t>
        </is>
      </c>
      <c r="N212" s="4" t="inlineStr">
        <is>
          <t>Not Run</t>
        </is>
      </c>
      <c r="O212" s="3" t="inlineStr"/>
      <c r="P212" s="4" t="inlineStr"/>
      <c r="Q212" s="3" t="inlineStr"/>
      <c r="R212" s="4" t="inlineStr"/>
      <c r="S212" s="3" t="inlineStr">
        <is>
          <t>Mobile sticky purchase CTA.</t>
        </is>
      </c>
    </row>
    <row r="213" ht="65" customHeight="1">
      <c r="A213" s="5" t="inlineStr">
        <is>
          <t>UI-005</t>
        </is>
      </c>
      <c r="B213" s="6" t="inlineStr">
        <is>
          <t>UI &amp; Responsive</t>
        </is>
      </c>
      <c r="C213" s="6" t="inlineStr">
        <is>
          <t>/organize</t>
        </is>
      </c>
      <c r="D213" s="6" t="inlineStr">
        <is>
          <t>Package Studio Mobile Usability</t>
        </is>
      </c>
      <c r="E213" s="6" t="inlineStr">
        <is>
          <t>Verify Package Studio forms and Quill editor on mobile viewport</t>
        </is>
      </c>
      <c r="F213" s="6" t="inlineStr">
        <is>
          <t>Mobile viewport (390x844); seller on /organize.</t>
        </is>
      </c>
      <c r="G213" s="6" t="inlineStr">
        <is>
          <t>None.</t>
        </is>
      </c>
      <c r="H213" s="6" t="inlineStr">
        <is>
          <t>1. Set viewport to 390x844.
2. Navigate to /organize.
3. Test title input, pricing inputs, Quill editor, and file upload zone.</t>
        </is>
      </c>
      <c r="I213" s="6" t="inlineStr">
        <is>
          <t>Forms are fully accessible without pinch-to-zoom; Quill toolbar wraps cleanly; inputs do not trigger horizontal page shift.</t>
        </is>
      </c>
      <c r="J213" s="7" t="inlineStr">
        <is>
          <t>P2</t>
        </is>
      </c>
      <c r="K213" s="7" t="inlineStr">
        <is>
          <t>Responsive</t>
        </is>
      </c>
      <c r="L213" s="7" t="inlineStr">
        <is>
          <t>Seller</t>
        </is>
      </c>
      <c r="M213" s="7" t="inlineStr">
        <is>
          <t>Mobile</t>
        </is>
      </c>
      <c r="N213" s="7" t="inlineStr">
        <is>
          <t>Not Run</t>
        </is>
      </c>
      <c r="O213" s="6" t="inlineStr"/>
      <c r="P213" s="7" t="inlineStr"/>
      <c r="Q213" s="6" t="inlineStr"/>
      <c r="R213" s="7" t="inlineStr"/>
      <c r="S213" s="6" t="inlineStr">
        <is>
          <t>Seller studio mobile responsiveness.</t>
        </is>
      </c>
    </row>
    <row r="214" ht="65" customHeight="1">
      <c r="A214" s="2" t="inlineStr">
        <is>
          <t>UI-006</t>
        </is>
      </c>
      <c r="B214" s="3" t="inlineStr">
        <is>
          <t>UI &amp; Responsive</t>
        </is>
      </c>
      <c r="C214" s="3" t="inlineStr">
        <is>
          <t>/messages</t>
        </is>
      </c>
      <c r="D214" s="3" t="inlineStr">
        <is>
          <t>Mobile Chat View</t>
        </is>
      </c>
      <c r="E214" s="3" t="inlineStr">
        <is>
          <t>Verify chat interface on mobile viewport (conversation list to active thread toggle)</t>
        </is>
      </c>
      <c r="F214" s="3" t="inlineStr">
        <is>
          <t>Mobile viewport (390x844); user on /messages.</t>
        </is>
      </c>
      <c r="G214" s="3" t="inlineStr">
        <is>
          <t>None.</t>
        </is>
      </c>
      <c r="H214" s="3" t="inlineStr">
        <is>
          <t>1. Open /messages on mobile.
2. Click on a conversation item.
3. Verify chat opens full width with back arrow ('&lt;').
4. Click back arrow.</t>
        </is>
      </c>
      <c r="I214" s="3" t="inlineStr">
        <is>
          <t>Chat pane covers viewport on mobile; back arrow smoothly returns user to conversation list; mobile keyboard does not obscure chat input.</t>
        </is>
      </c>
      <c r="J214" s="4" t="inlineStr">
        <is>
          <t>P1</t>
        </is>
      </c>
      <c r="K214" s="4" t="inlineStr">
        <is>
          <t>Responsive</t>
        </is>
      </c>
      <c r="L214" s="4" t="inlineStr">
        <is>
          <t>Buyer / Seller</t>
        </is>
      </c>
      <c r="M214" s="4" t="inlineStr">
        <is>
          <t>Mobile</t>
        </is>
      </c>
      <c r="N214" s="4" t="inlineStr">
        <is>
          <t>Not Run</t>
        </is>
      </c>
      <c r="O214" s="3" t="inlineStr"/>
      <c r="P214" s="4" t="inlineStr"/>
      <c r="Q214" s="3" t="inlineStr"/>
      <c r="R214" s="4" t="inlineStr"/>
      <c r="S214" s="3" t="inlineStr">
        <is>
          <t>Mobile chat view UX.</t>
        </is>
      </c>
    </row>
    <row r="215" ht="65" customHeight="1">
      <c r="A215" s="5" t="inlineStr">
        <is>
          <t>UI-007</t>
        </is>
      </c>
      <c r="B215" s="6" t="inlineStr">
        <is>
          <t>UI &amp; Responsive</t>
        </is>
      </c>
      <c r="C215" s="6" t="inlineStr">
        <is>
          <t>Global (Modals)</t>
        </is>
      </c>
      <c r="D215" s="6" t="inlineStr">
        <is>
          <t>Modal Positioning &amp; Backdrop</t>
        </is>
      </c>
      <c r="E215" s="6" t="inlineStr">
        <is>
          <t>Verify modals center properly across viewports without background scrolling</t>
        </is>
      </c>
      <c r="F215" s="6" t="inlineStr">
        <is>
          <t>Any viewport (Desktop and Mobile).</t>
        </is>
      </c>
      <c r="G215" s="6" t="inlineStr">
        <is>
          <t>Modal trigger: Submit Proposal or Request Revision modal.</t>
        </is>
      </c>
      <c r="H215" s="6" t="inlineStr">
        <is>
          <t>1. Trigger modal opening.
2. Inspect modal positioning.
3. Attempt to scroll background page.</t>
        </is>
      </c>
      <c r="I215" s="6" t="inlineStr">
        <is>
          <t>Modal is perfectly centered with semi-transparent backdrop; background page scrolling is locked (overflow: hidden on body); modal body scrolls if content exceeds height.</t>
        </is>
      </c>
      <c r="J215" s="7" t="inlineStr">
        <is>
          <t>P2</t>
        </is>
      </c>
      <c r="K215" s="7" t="inlineStr">
        <is>
          <t>UI</t>
        </is>
      </c>
      <c r="L215" s="7" t="inlineStr">
        <is>
          <t>Buyer / Seller</t>
        </is>
      </c>
      <c r="M215" s="7" t="inlineStr">
        <is>
          <t>Desktop</t>
        </is>
      </c>
      <c r="N215" s="7" t="inlineStr">
        <is>
          <t>Not Run</t>
        </is>
      </c>
      <c r="O215" s="6" t="inlineStr"/>
      <c r="P215" s="7" t="inlineStr"/>
      <c r="Q215" s="6" t="inlineStr"/>
      <c r="R215" s="7" t="inlineStr"/>
      <c r="S215" s="6" t="inlineStr">
        <is>
          <t>Modal backdrop &amp; scroll locking.</t>
        </is>
      </c>
    </row>
    <row r="216" ht="65" customHeight="1">
      <c r="A216" s="2" t="inlineStr">
        <is>
          <t>UI-008</t>
        </is>
      </c>
      <c r="B216" s="3" t="inlineStr">
        <is>
          <t>UI &amp; Responsive</t>
        </is>
      </c>
      <c r="C216" s="3" t="inlineStr">
        <is>
          <t>Global (Forms)</t>
        </is>
      </c>
      <c r="D216" s="3" t="inlineStr">
        <is>
          <t>Touch Target Sizing (min 44x44px)</t>
        </is>
      </c>
      <c r="E216" s="3" t="inlineStr">
        <is>
          <t>Verify all interactive buttons and inputs meet WCAG touch target standards on mobile</t>
        </is>
      </c>
      <c r="F216" s="3" t="inlineStr">
        <is>
          <t>Mobile viewport (390x844).</t>
        </is>
      </c>
      <c r="G216" s="3" t="inlineStr">
        <is>
          <t>None.</t>
        </is>
      </c>
      <c r="H216" s="3" t="inlineStr">
        <is>
          <t>1. Inspect buttons, tabs, links, and form controls across /login, /packages, and /orders.</t>
        </is>
      </c>
      <c r="I216" s="3" t="inlineStr">
        <is>
          <t>All tap targets measure at least 44x44 CSS pixels; adequate spacing prevents accidental taps.</t>
        </is>
      </c>
      <c r="J216" s="4" t="inlineStr">
        <is>
          <t>P2</t>
        </is>
      </c>
      <c r="K216" s="4" t="inlineStr">
        <is>
          <t>Responsive</t>
        </is>
      </c>
      <c r="L216" s="4" t="inlineStr">
        <is>
          <t>Public / User</t>
        </is>
      </c>
      <c r="M216" s="4" t="inlineStr">
        <is>
          <t>Mobile</t>
        </is>
      </c>
      <c r="N216" s="4" t="inlineStr">
        <is>
          <t>Not Run</t>
        </is>
      </c>
      <c r="O216" s="3" t="inlineStr"/>
      <c r="P216" s="4" t="inlineStr"/>
      <c r="Q216" s="3" t="inlineStr"/>
      <c r="R216" s="4" t="inlineStr"/>
      <c r="S216" s="3" t="inlineStr">
        <is>
          <t>Touch target accessibility.</t>
        </is>
      </c>
    </row>
    <row r="217" ht="65" customHeight="1">
      <c r="A217" s="5" t="inlineStr">
        <is>
          <t>UI-009</t>
        </is>
      </c>
      <c r="B217" s="6" t="inlineStr">
        <is>
          <t>UI &amp; Responsive</t>
        </is>
      </c>
      <c r="C217" s="6" t="inlineStr">
        <is>
          <t>Global</t>
        </is>
      </c>
      <c r="D217" s="6" t="inlineStr">
        <is>
          <t>Brand Color Token Consistency</t>
        </is>
      </c>
      <c r="E217" s="6" t="inlineStr">
        <is>
          <t>Verify brand primary green (#0D6D5F) is applied consistently across components</t>
        </is>
      </c>
      <c r="F217" s="6" t="inlineStr">
        <is>
          <t>None.</t>
        </is>
      </c>
      <c r="G217" s="6" t="inlineStr">
        <is>
          <t>None.</t>
        </is>
      </c>
      <c r="H217" s="6" t="inlineStr">
        <is>
          <t>1. Inspect primary action buttons, active tab indicators, focus rings, and badge accents across marketplace pages.</t>
        </is>
      </c>
      <c r="I217" s="6" t="inlineStr">
        <is>
          <t>All primary CTAs use Workvence brand green (#0D6D5F / #0b5c50 hover); no unbranded saturated blues or purples.</t>
        </is>
      </c>
      <c r="J217" s="7" t="inlineStr">
        <is>
          <t>P2</t>
        </is>
      </c>
      <c r="K217" s="7" t="inlineStr">
        <is>
          <t>UI</t>
        </is>
      </c>
      <c r="L217" s="7" t="inlineStr">
        <is>
          <t>Public / User</t>
        </is>
      </c>
      <c r="M217" s="7" t="inlineStr">
        <is>
          <t>Desktop</t>
        </is>
      </c>
      <c r="N217" s="7" t="inlineStr">
        <is>
          <t>Not Run</t>
        </is>
      </c>
      <c r="O217" s="6" t="inlineStr"/>
      <c r="P217" s="7" t="inlineStr"/>
      <c r="Q217" s="6" t="inlineStr"/>
      <c r="R217" s="7" t="inlineStr"/>
      <c r="S217" s="6" t="inlineStr">
        <is>
          <t>Design system color token adherence.</t>
        </is>
      </c>
    </row>
    <row r="218" ht="65" customHeight="1">
      <c r="A218" s="2" t="inlineStr">
        <is>
          <t>UI-010</t>
        </is>
      </c>
      <c r="B218" s="3" t="inlineStr">
        <is>
          <t>UI &amp; Responsive</t>
        </is>
      </c>
      <c r="C218" s="3" t="inlineStr">
        <is>
          <t>Global</t>
        </is>
      </c>
      <c r="D218" s="3" t="inlineStr">
        <is>
          <t>Typography &amp; SF Pro Font Loading</t>
        </is>
      </c>
      <c r="E218" s="3" t="inlineStr">
        <is>
          <t>Verify SF Pro local font-family loads cleanly without FOUT or fallback layout shifts</t>
        </is>
      </c>
      <c r="F218" s="3" t="inlineStr">
        <is>
          <t>None.</t>
        </is>
      </c>
      <c r="G218" s="3" t="inlineStr">
        <is>
          <t>None.</t>
        </is>
      </c>
      <c r="H218" s="3" t="inlineStr">
        <is>
          <t>1. Inspect rendered font styles in browser DevTools Computed panel across headings and body text.</t>
        </is>
      </c>
      <c r="I218" s="3" t="inlineStr">
        <is>
          <t>Headings render using 'SF Pro Display' / 'SF Pro Text'; secondary fonts Inter and Outfit apply where declared; no missing font warnings.</t>
        </is>
      </c>
      <c r="J218" s="4" t="inlineStr">
        <is>
          <t>P3</t>
        </is>
      </c>
      <c r="K218" s="4" t="inlineStr">
        <is>
          <t>UI</t>
        </is>
      </c>
      <c r="L218" s="4" t="inlineStr">
        <is>
          <t>Public / User</t>
        </is>
      </c>
      <c r="M218" s="4" t="inlineStr">
        <is>
          <t>Desktop</t>
        </is>
      </c>
      <c r="N218" s="4" t="inlineStr">
        <is>
          <t>Not Run</t>
        </is>
      </c>
      <c r="O218" s="3" t="inlineStr"/>
      <c r="P218" s="4" t="inlineStr"/>
      <c r="Q218" s="3" t="inlineStr"/>
      <c r="R218" s="4" t="inlineStr"/>
      <c r="S218" s="3" t="inlineStr">
        <is>
          <t>Typography system verification.</t>
        </is>
      </c>
    </row>
    <row r="219" ht="65" customHeight="1">
      <c r="A219" s="5" t="inlineStr">
        <is>
          <t>UI-011</t>
        </is>
      </c>
      <c r="B219" s="6" t="inlineStr">
        <is>
          <t>UI &amp; Responsive</t>
        </is>
      </c>
      <c r="C219" s="6" t="inlineStr">
        <is>
          <t>Marketing Pages</t>
        </is>
      </c>
      <c r="D219" s="6" t="inlineStr">
        <is>
          <t>Marketing Banner Consistency</t>
        </is>
      </c>
      <c r="E219" s="6" t="inlineStr">
        <is>
          <t>Verify banner layout consistency across marketing pages</t>
        </is>
      </c>
      <c r="F219" s="6" t="inlineStr">
        <is>
          <t>Pages: /help-center, /partnerships, /affiliates, /trust-safety.</t>
        </is>
      </c>
      <c r="G219" s="6" t="inlineStr">
        <is>
          <t>None.</t>
        </is>
      </c>
      <c r="H219" s="6" t="inlineStr">
        <is>
          <t>1. Navigate sequentially to /help-center, /partnerships, /affiliates, /trust-safety.
2. Compare top banner height, typography, padding, and background styling.</t>
        </is>
      </c>
      <c r="I219" s="6" t="inlineStr">
        <is>
          <t>All marketing banners follow the standardized reference layout (matching Help Center) with consistent height, padding, and alignment.</t>
        </is>
      </c>
      <c r="J219" s="7" t="inlineStr">
        <is>
          <t>P2</t>
        </is>
      </c>
      <c r="K219" s="7" t="inlineStr">
        <is>
          <t>UI</t>
        </is>
      </c>
      <c r="L219" s="7" t="inlineStr">
        <is>
          <t>Public</t>
        </is>
      </c>
      <c r="M219" s="7" t="inlineStr">
        <is>
          <t>Desktop</t>
        </is>
      </c>
      <c r="N219" s="7" t="inlineStr">
        <is>
          <t>Not Run</t>
        </is>
      </c>
      <c r="O219" s="6" t="inlineStr"/>
      <c r="P219" s="7" t="inlineStr"/>
      <c r="Q219" s="6" t="inlineStr"/>
      <c r="R219" s="7" t="inlineStr"/>
      <c r="S219" s="6" t="inlineStr">
        <is>
          <t>Standardized marketing banner audit.</t>
        </is>
      </c>
    </row>
    <row r="220" ht="65" customHeight="1">
      <c r="A220" s="2" t="inlineStr">
        <is>
          <t>UI-012</t>
        </is>
      </c>
      <c r="B220" s="3" t="inlineStr">
        <is>
          <t>UI &amp; Responsive</t>
        </is>
      </c>
      <c r="C220" s="3" t="inlineStr">
        <is>
          <t>Global</t>
        </is>
      </c>
      <c r="D220" s="3" t="inlineStr">
        <is>
          <t>Fluid Container Responsiveness</t>
        </is>
      </c>
      <c r="E220" s="3" t="inlineStr">
        <is>
          <t>Verify fluid .container padding across standard breakpoints</t>
        </is>
      </c>
      <c r="F220" s="3" t="inlineStr">
        <is>
          <t>Breakpoints: Mobile (390px), SM (640px), MD (768px), LG (1024px), XL/2XL (1440px+).</t>
        </is>
      </c>
      <c r="G220" s="3" t="inlineStr">
        <is>
          <t>None.</t>
        </is>
      </c>
      <c r="H220" s="3" t="inlineStr">
        <is>
          <t>1. Resize browser across breakpoints and inspect .container padding.</t>
        </is>
      </c>
      <c r="I220" s="3" t="inlineStr">
        <is>
          <t>Padding adjusts to: 1rem (Mobile), 1.5rem (sm), 2rem (md), 3rem (lg), 80px (xl/2xl); content remains centered with max-width bounding.</t>
        </is>
      </c>
      <c r="J220" s="4" t="inlineStr">
        <is>
          <t>P2</t>
        </is>
      </c>
      <c r="K220" s="4" t="inlineStr">
        <is>
          <t>Responsive</t>
        </is>
      </c>
      <c r="L220" s="4" t="inlineStr">
        <is>
          <t>Public / User</t>
        </is>
      </c>
      <c r="M220" s="4" t="inlineStr">
        <is>
          <t>Desktop</t>
        </is>
      </c>
      <c r="N220" s="4" t="inlineStr">
        <is>
          <t>Not Run</t>
        </is>
      </c>
      <c r="O220" s="3" t="inlineStr"/>
      <c r="P220" s="4" t="inlineStr"/>
      <c r="Q220" s="3" t="inlineStr"/>
      <c r="R220" s="4" t="inlineStr"/>
      <c r="S220" s="3" t="inlineStr">
        <is>
          <t>Fluid container responsive padding.</t>
        </is>
      </c>
    </row>
    <row r="221" ht="65" customHeight="1">
      <c r="A221" s="5" t="inlineStr">
        <is>
          <t>UI-013</t>
        </is>
      </c>
      <c r="B221" s="6" t="inlineStr">
        <is>
          <t>UI &amp; Responsive</t>
        </is>
      </c>
      <c r="C221" s="6" t="inlineStr">
        <is>
          <t>Global (Images)</t>
        </is>
      </c>
      <c r="D221" s="6" t="inlineStr">
        <is>
          <t>Image Optimization &amp; Next/Image Quality</t>
        </is>
      </c>
      <c r="E221" s="6" t="inlineStr">
        <is>
          <t>Verify responsive images load in AVIF/WebP formats with appropriate srcset</t>
        </is>
      </c>
      <c r="F221" s="6" t="inlineStr">
        <is>
          <t>None.</t>
        </is>
      </c>
      <c r="G221" s="6" t="inlineStr">
        <is>
          <t>None.</t>
        </is>
      </c>
      <c r="H221" s="6" t="inlineStr">
        <is>
          <t>1. Inspect image network requests in browser DevTools Network tab on / and /packages.</t>
        </is>
      </c>
      <c r="I221" s="6" t="inlineStr">
        <is>
          <t>Images served via Next.js image optimization pipeline in WebP or AVIF format; responsive srcset sizes adjust to device resolution.</t>
        </is>
      </c>
      <c r="J221" s="7" t="inlineStr">
        <is>
          <t>P2</t>
        </is>
      </c>
      <c r="K221" s="7" t="inlineStr">
        <is>
          <t>UI</t>
        </is>
      </c>
      <c r="L221" s="7" t="inlineStr">
        <is>
          <t>Public</t>
        </is>
      </c>
      <c r="M221" s="7" t="inlineStr">
        <is>
          <t>Desktop</t>
        </is>
      </c>
      <c r="N221" s="7" t="inlineStr">
        <is>
          <t>Not Run</t>
        </is>
      </c>
      <c r="O221" s="6" t="inlineStr"/>
      <c r="P221" s="7" t="inlineStr"/>
      <c r="Q221" s="6" t="inlineStr"/>
      <c r="R221" s="7" t="inlineStr"/>
      <c r="S221" s="6" t="inlineStr">
        <is>
          <t>Next.js image optimization.</t>
        </is>
      </c>
    </row>
    <row r="222" ht="65" customHeight="1">
      <c r="A222" s="2" t="inlineStr">
        <is>
          <t>UI-014</t>
        </is>
      </c>
      <c r="B222" s="3" t="inlineStr">
        <is>
          <t>UI &amp; Responsive</t>
        </is>
      </c>
      <c r="C222" s="3" t="inlineStr">
        <is>
          <t>Global</t>
        </is>
      </c>
      <c r="D222" s="3" t="inlineStr">
        <is>
          <t>Sticky Header Navigation</t>
        </is>
      </c>
      <c r="E222" s="3" t="inlineStr">
        <is>
          <t>Verify top navigation bar remains sticky upon page scroll</t>
        </is>
      </c>
      <c r="F222" s="3" t="inlineStr">
        <is>
          <t>Long scrolling page (/ or /packages).</t>
        </is>
      </c>
      <c r="G222" s="3" t="inlineStr">
        <is>
          <t>None.</t>
        </is>
      </c>
      <c r="H222" s="3" t="inlineStr">
        <is>
          <t>1. Scroll down page past 300px.
2. Inspect top navbar behavior.</t>
        </is>
      </c>
      <c r="I222" s="3" t="inlineStr">
        <is>
          <t>Navbar remains pinned to top of viewport; subtle shadow applies; navigation links and user avatar stay accessible.</t>
        </is>
      </c>
      <c r="J222" s="4" t="inlineStr">
        <is>
          <t>P3</t>
        </is>
      </c>
      <c r="K222" s="4" t="inlineStr">
        <is>
          <t>UI</t>
        </is>
      </c>
      <c r="L222" s="4" t="inlineStr">
        <is>
          <t>Public / User</t>
        </is>
      </c>
      <c r="M222" s="4" t="inlineStr">
        <is>
          <t>Desktop</t>
        </is>
      </c>
      <c r="N222" s="4" t="inlineStr">
        <is>
          <t>Not Run</t>
        </is>
      </c>
      <c r="O222" s="3" t="inlineStr"/>
      <c r="P222" s="4" t="inlineStr"/>
      <c r="Q222" s="3" t="inlineStr"/>
      <c r="R222" s="4" t="inlineStr"/>
      <c r="S222" s="3" t="inlineStr">
        <is>
          <t>Sticky header navigation.</t>
        </is>
      </c>
    </row>
    <row r="223" ht="65" customHeight="1">
      <c r="A223" s="5" t="inlineStr">
        <is>
          <t>UI-015</t>
        </is>
      </c>
      <c r="B223" s="6" t="inlineStr">
        <is>
          <t>UI &amp; Responsive</t>
        </is>
      </c>
      <c r="C223" s="6" t="inlineStr">
        <is>
          <t>/packages</t>
        </is>
      </c>
      <c r="D223" s="6" t="inlineStr">
        <is>
          <t>Skeleton Loading States</t>
        </is>
      </c>
      <c r="E223" s="6" t="inlineStr">
        <is>
          <t>Verify skeleton loading placeholders display during catalog data fetching</t>
        </is>
      </c>
      <c r="F223" s="6" t="inlineStr">
        <is>
          <t>Throttle network to Slow 3G in DevTools.</t>
        </is>
      </c>
      <c r="G223" s="6" t="inlineStr">
        <is>
          <t>None.</t>
        </is>
      </c>
      <c r="H223" s="6" t="inlineStr">
        <is>
          <t>1. Navigate to /packages.
2. Observe page before API response returns.</t>
        </is>
      </c>
      <c r="I223" s="6" t="inlineStr">
        <is>
          <t>Animated gray skeleton cards display matching dimensions of final package cards; prevents content layout shift (CLS).</t>
        </is>
      </c>
      <c r="J223" s="7" t="inlineStr">
        <is>
          <t>P2</t>
        </is>
      </c>
      <c r="K223" s="7" t="inlineStr">
        <is>
          <t>UI</t>
        </is>
      </c>
      <c r="L223" s="7" t="inlineStr">
        <is>
          <t>Public / Buyer</t>
        </is>
      </c>
      <c r="M223" s="7" t="inlineStr">
        <is>
          <t>Desktop</t>
        </is>
      </c>
      <c r="N223" s="7" t="inlineStr">
        <is>
          <t>Not Run</t>
        </is>
      </c>
      <c r="O223" s="6" t="inlineStr"/>
      <c r="P223" s="7" t="inlineStr"/>
      <c r="Q223" s="6" t="inlineStr"/>
      <c r="R223" s="7" t="inlineStr"/>
      <c r="S223" s="6" t="inlineStr">
        <is>
          <t>Skeleton loader UX.</t>
        </is>
      </c>
    </row>
    <row r="224" ht="65" customHeight="1">
      <c r="A224" s="2" t="inlineStr">
        <is>
          <t>UI-016</t>
        </is>
      </c>
      <c r="B224" s="3" t="inlineStr">
        <is>
          <t>UI &amp; Responsive</t>
        </is>
      </c>
      <c r="C224" s="3" t="inlineStr">
        <is>
          <t>Global</t>
        </is>
      </c>
      <c r="D224" s="3" t="inlineStr">
        <is>
          <t>Toast Notification Queue &amp; Limit</t>
        </is>
      </c>
      <c r="E224" s="3" t="inlineStr">
        <is>
          <t>Verify react-hot-toast notifications dismiss properly and do not stack excessively</t>
        </is>
      </c>
      <c r="F224" s="3" t="inlineStr">
        <is>
          <t>Trigger multiple actions rapidly.</t>
        </is>
      </c>
      <c r="G224" s="3" t="inlineStr">
        <is>
          <t>None.</t>
        </is>
      </c>
      <c r="H224" s="3" t="inlineStr">
        <is>
          <t>1. Trigger 4 consecutive notifications (e.g. favorite additions or form validation errors).</t>
        </is>
      </c>
      <c r="I224" s="3" t="inlineStr">
        <is>
          <t>Toasts display in top-right or bottom-center; limit enforcer caps visible toasts to prevent screen clutter; auto-dismisses after 4 seconds.</t>
        </is>
      </c>
      <c r="J224" s="4" t="inlineStr">
        <is>
          <t>P3</t>
        </is>
      </c>
      <c r="K224" s="4" t="inlineStr">
        <is>
          <t>UI</t>
        </is>
      </c>
      <c r="L224" s="4" t="inlineStr">
        <is>
          <t>Public / User</t>
        </is>
      </c>
      <c r="M224" s="4" t="inlineStr">
        <is>
          <t>Desktop</t>
        </is>
      </c>
      <c r="N224" s="4" t="inlineStr">
        <is>
          <t>Not Run</t>
        </is>
      </c>
      <c r="O224" s="3" t="inlineStr"/>
      <c r="P224" s="4" t="inlineStr"/>
      <c r="Q224" s="3" t="inlineStr"/>
      <c r="R224" s="4" t="inlineStr"/>
      <c r="S224" s="3" t="inlineStr">
        <is>
          <t>Toast notification manager.</t>
        </is>
      </c>
    </row>
    <row r="225" ht="65" customHeight="1">
      <c r="A225" s="5" t="inlineStr">
        <is>
          <t>SEC-001</t>
        </is>
      </c>
      <c r="B225" s="6" t="inlineStr">
        <is>
          <t>Security &amp; RBAC</t>
        </is>
      </c>
      <c r="C225" s="6" t="inlineStr">
        <is>
          <t>/login</t>
        </is>
      </c>
      <c r="D225" s="6" t="inlineStr">
        <is>
          <t>Logged-in User Guest Route Guard</t>
        </is>
      </c>
      <c r="E225" s="6" t="inlineStr">
        <is>
          <t>Redirect authenticated user away from /login to /dashboard</t>
        </is>
      </c>
      <c r="F225" s="6" t="inlineStr">
        <is>
          <t>User logged in.</t>
        </is>
      </c>
      <c r="G225" s="6" t="inlineStr">
        <is>
          <t>None.</t>
        </is>
      </c>
      <c r="H225" s="6" t="inlineStr">
        <is>
          <t>1. While authenticated, enter /login directly in browser URL bar.
2. Press Enter.</t>
        </is>
      </c>
      <c r="I225" s="6" t="inlineStr">
        <is>
          <t>Proxy detects active authenticated session; redirects user immediately to /dashboard; login form never rendered.</t>
        </is>
      </c>
      <c r="J225" s="7" t="inlineStr">
        <is>
          <t>P1</t>
        </is>
      </c>
      <c r="K225" s="7" t="inlineStr">
        <is>
          <t>Security</t>
        </is>
      </c>
      <c r="L225" s="7" t="inlineStr">
        <is>
          <t>Buyer / Seller</t>
        </is>
      </c>
      <c r="M225" s="7" t="inlineStr">
        <is>
          <t>Desktop</t>
        </is>
      </c>
      <c r="N225" s="7" t="inlineStr">
        <is>
          <t>Not Run</t>
        </is>
      </c>
      <c r="O225" s="6" t="inlineStr"/>
      <c r="P225" s="7" t="inlineStr"/>
      <c r="Q225" s="6" t="inlineStr"/>
      <c r="R225" s="7" t="inlineStr"/>
      <c r="S225" s="6" t="inlineStr">
        <is>
          <t>Guest-only route guard.</t>
        </is>
      </c>
    </row>
    <row r="226" ht="65" customHeight="1">
      <c r="A226" s="2" t="inlineStr">
        <is>
          <t>SEC-002</t>
        </is>
      </c>
      <c r="B226" s="3" t="inlineStr">
        <is>
          <t>Security &amp; RBAC</t>
        </is>
      </c>
      <c r="C226" s="3" t="inlineStr">
        <is>
          <t>/register</t>
        </is>
      </c>
      <c r="D226" s="3" t="inlineStr">
        <is>
          <t>Logged-in User Register Guard</t>
        </is>
      </c>
      <c r="E226" s="3" t="inlineStr">
        <is>
          <t>Redirect authenticated user away from /register to /dashboard (unless ?seller=true)</t>
        </is>
      </c>
      <c r="F226" s="3" t="inlineStr">
        <is>
          <t>User logged in.</t>
        </is>
      </c>
      <c r="G226" s="3" t="inlineStr">
        <is>
          <t>None.</t>
        </is>
      </c>
      <c r="H226" s="3" t="inlineStr">
        <is>
          <t>1. Access /register while logged in.
2. Access /register?seller=true while logged in.</t>
        </is>
      </c>
      <c r="I226" s="3" t="inlineStr">
        <is>
          <t>/register redirects to /dashboard; /register?seller=true is permitted to allow existing buyer to onboard as seller.</t>
        </is>
      </c>
      <c r="J226" s="4" t="inlineStr">
        <is>
          <t>P1</t>
        </is>
      </c>
      <c r="K226" s="4" t="inlineStr">
        <is>
          <t>Security</t>
        </is>
      </c>
      <c r="L226" s="4" t="inlineStr">
        <is>
          <t>Buyer / Seller</t>
        </is>
      </c>
      <c r="M226" s="4" t="inlineStr">
        <is>
          <t>Desktop</t>
        </is>
      </c>
      <c r="N226" s="4" t="inlineStr">
        <is>
          <t>Not Run</t>
        </is>
      </c>
      <c r="O226" s="3" t="inlineStr"/>
      <c r="P226" s="4" t="inlineStr"/>
      <c r="Q226" s="3" t="inlineStr"/>
      <c r="R226" s="4" t="inlineStr"/>
      <c r="S226" s="3" t="inlineStr">
        <is>
          <t>Registration route guard exception.</t>
        </is>
      </c>
    </row>
    <row r="227" ht="65" customHeight="1">
      <c r="A227" s="5" t="inlineStr">
        <is>
          <t>SEC-003</t>
        </is>
      </c>
      <c r="B227" s="6" t="inlineStr">
        <is>
          <t>Security &amp; RBAC</t>
        </is>
      </c>
      <c r="C227" s="6" t="inlineStr">
        <is>
          <t>/manage-orders</t>
        </is>
      </c>
      <c r="D227" s="6" t="inlineStr">
        <is>
          <t>Seller Route Guard for Buyers</t>
        </is>
      </c>
      <c r="E227" s="6" t="inlineStr">
        <is>
          <t>Block Buyer from accessing seller order management route</t>
        </is>
      </c>
      <c r="F227" s="6" t="inlineStr">
        <is>
          <t>User logged in with isSeller: false.</t>
        </is>
      </c>
      <c r="G227" s="6" t="inlineStr">
        <is>
          <t>None.</t>
        </is>
      </c>
      <c r="H227" s="6" t="inlineStr">
        <is>
          <t>1. As buyer, navigate directly to /manage-orders.</t>
        </is>
      </c>
      <c r="I227" s="6" t="inlineStr">
        <is>
          <t>Proxy evaluates role permissions; redirects buyer to /dashboard; seller orders table inaccessible.</t>
        </is>
      </c>
      <c r="J227" s="7" t="inlineStr">
        <is>
          <t>P1</t>
        </is>
      </c>
      <c r="K227" s="7" t="inlineStr">
        <is>
          <t>Security</t>
        </is>
      </c>
      <c r="L227" s="7" t="inlineStr">
        <is>
          <t>Buyer</t>
        </is>
      </c>
      <c r="M227" s="7" t="inlineStr">
        <is>
          <t>Desktop</t>
        </is>
      </c>
      <c r="N227" s="7" t="inlineStr">
        <is>
          <t>Not Run</t>
        </is>
      </c>
      <c r="O227" s="6" t="inlineStr"/>
      <c r="P227" s="7" t="inlineStr"/>
      <c r="Q227" s="6" t="inlineStr"/>
      <c r="R227" s="7" t="inlineStr"/>
      <c r="S227" s="6" t="inlineStr">
        <is>
          <t>Role-based route isolation.</t>
        </is>
      </c>
    </row>
    <row r="228" ht="65" customHeight="1">
      <c r="A228" s="2" t="inlineStr">
        <is>
          <t>SEC-004</t>
        </is>
      </c>
      <c r="B228" s="3" t="inlineStr">
        <is>
          <t>Security &amp; RBAC</t>
        </is>
      </c>
      <c r="C228" s="3" t="inlineStr">
        <is>
          <t>/admin/dashboard</t>
        </is>
      </c>
      <c r="D228" s="3" t="inlineStr">
        <is>
          <t>Admin Route Guard for Non-Admins</t>
        </is>
      </c>
      <c r="E228" s="3" t="inlineStr">
        <is>
          <t>Block regular Buyer or Seller from accessing /admin routes</t>
        </is>
      </c>
      <c r="F228" s="3" t="inlineStr">
        <is>
          <t>User logged in with role != 'admin'.</t>
        </is>
      </c>
      <c r="G228" s="3" t="inlineStr">
        <is>
          <t>None.</t>
        </is>
      </c>
      <c r="H228" s="3" t="inlineStr">
        <is>
          <t>1. Enter /admin/dashboard in browser URL bar.</t>
        </is>
      </c>
      <c r="I228" s="3" t="inlineStr">
        <is>
          <t>Proxy blocks request; redirects user to /dashboard; admin endpoints and metrics completely protected.</t>
        </is>
      </c>
      <c r="J228" s="4" t="inlineStr">
        <is>
          <t>P1</t>
        </is>
      </c>
      <c r="K228" s="4" t="inlineStr">
        <is>
          <t>Security</t>
        </is>
      </c>
      <c r="L228" s="4" t="inlineStr">
        <is>
          <t>Buyer / Seller</t>
        </is>
      </c>
      <c r="M228" s="4" t="inlineStr">
        <is>
          <t>Desktop</t>
        </is>
      </c>
      <c r="N228" s="4" t="inlineStr">
        <is>
          <t>Not Run</t>
        </is>
      </c>
      <c r="O228" s="3" t="inlineStr"/>
      <c r="P228" s="4" t="inlineStr"/>
      <c r="Q228" s="3" t="inlineStr"/>
      <c r="R228" s="4" t="inlineStr"/>
      <c r="S228" s="3" t="inlineStr">
        <is>
          <t>Strict admin authorization guard.</t>
        </is>
      </c>
    </row>
    <row r="229" ht="65" customHeight="1">
      <c r="A229" s="5" t="inlineStr">
        <is>
          <t>SEC-005</t>
        </is>
      </c>
      <c r="B229" s="6" t="inlineStr">
        <is>
          <t>Security &amp; RBAC</t>
        </is>
      </c>
      <c r="C229" s="6" t="inlineStr">
        <is>
          <t>/dashboard</t>
        </is>
      </c>
      <c r="D229" s="6" t="inlineStr">
        <is>
          <t>Role-Based Dashboard Dispatch</t>
        </is>
      </c>
      <c r="E229" s="6" t="inlineStr">
        <is>
          <t>Verify /dashboard routes appropriately based on user role</t>
        </is>
      </c>
      <c r="F229" s="6" t="inlineStr">
        <is>
          <t>Test Buyer account and Test Seller account.</t>
        </is>
      </c>
      <c r="G229" s="6" t="inlineStr">
        <is>
          <t>None.</t>
        </is>
      </c>
      <c r="H229" s="6" t="inlineStr">
        <is>
          <t>1. Log in as Buyer and navigate to /dashboard.
2. Verify rendered component.
3. Log in as Seller and navigate to /dashboard.
4. Verify rendered component.</t>
        </is>
      </c>
      <c r="I229" s="6" t="inlineStr">
        <is>
          <t>Buyer sees BuyerDashboard with client metrics; Seller sees SellerDashboard with operational freelancer metrics.</t>
        </is>
      </c>
      <c r="J229" s="7" t="inlineStr">
        <is>
          <t>P1</t>
        </is>
      </c>
      <c r="K229" s="7" t="inlineStr">
        <is>
          <t>Functional</t>
        </is>
      </c>
      <c r="L229" s="7" t="inlineStr">
        <is>
          <t>Buyer / Seller</t>
        </is>
      </c>
      <c r="M229" s="7" t="inlineStr">
        <is>
          <t>Desktop</t>
        </is>
      </c>
      <c r="N229" s="7" t="inlineStr">
        <is>
          <t>Not Run</t>
        </is>
      </c>
      <c r="O229" s="6" t="inlineStr"/>
      <c r="P229" s="7" t="inlineStr"/>
      <c r="Q229" s="6" t="inlineStr"/>
      <c r="R229" s="7" t="inlineStr"/>
      <c r="S229" s="6" t="inlineStr">
        <is>
          <t>Role dashboard dispatch.</t>
        </is>
      </c>
    </row>
    <row r="230" ht="65" customHeight="1">
      <c r="A230" s="2" t="inlineStr">
        <is>
          <t>SEC-006</t>
        </is>
      </c>
      <c r="B230" s="3" t="inlineStr">
        <is>
          <t>Security &amp; RBAC</t>
        </is>
      </c>
      <c r="C230" s="3" t="inlineStr">
        <is>
          <t>API Requests</t>
        </is>
      </c>
      <c r="D230" s="3" t="inlineStr">
        <is>
          <t>JWT Authorization Header Attachment</t>
        </is>
      </c>
      <c r="E230" s="3" t="inlineStr">
        <is>
          <t>Verify axiosFetch automatically attaches Bearer token to all outgoing API calls</t>
        </is>
      </c>
      <c r="F230" s="3" t="inlineStr">
        <is>
          <t>User logged in.</t>
        </is>
      </c>
      <c r="G230" s="3" t="inlineStr">
        <is>
          <t>None.</t>
        </is>
      </c>
      <c r="H230" s="3" t="inlineStr">
        <is>
          <t>1. Open DevTools Network tab.
2. Trigger any authenticated API call (e.g. /api/gigs or /api/notifications).
3. Inspect Request Headers.</t>
        </is>
      </c>
      <c r="I230" s="3" t="inlineStr">
        <is>
          <t>Request contains 'Authorization: Bearer &lt;accessToken&gt;' header; valid JWT sent.</t>
        </is>
      </c>
      <c r="J230" s="4" t="inlineStr">
        <is>
          <t>P1</t>
        </is>
      </c>
      <c r="K230" s="4" t="inlineStr">
        <is>
          <t>Security</t>
        </is>
      </c>
      <c r="L230" s="4" t="inlineStr">
        <is>
          <t>Buyer / Seller</t>
        </is>
      </c>
      <c r="M230" s="4" t="inlineStr">
        <is>
          <t>Desktop</t>
        </is>
      </c>
      <c r="N230" s="4" t="inlineStr">
        <is>
          <t>Not Run</t>
        </is>
      </c>
      <c r="O230" s="3" t="inlineStr"/>
      <c r="P230" s="4" t="inlineStr"/>
      <c r="Q230" s="3" t="inlineStr"/>
      <c r="R230" s="4" t="inlineStr"/>
      <c r="S230" s="3" t="inlineStr">
        <is>
          <t>API client token attachment.</t>
        </is>
      </c>
    </row>
    <row r="231" ht="65" customHeight="1">
      <c r="A231" s="5" t="inlineStr">
        <is>
          <t>SEC-007</t>
        </is>
      </c>
      <c r="B231" s="6" t="inlineStr">
        <is>
          <t>Security &amp; RBAC</t>
        </is>
      </c>
      <c r="C231" s="6" t="inlineStr">
        <is>
          <t>API Requests</t>
        </is>
      </c>
      <c r="D231" s="6" t="inlineStr">
        <is>
          <t>NestJS Strict DTO Whitelist Enforcement</t>
        </is>
      </c>
      <c r="E231" s="6" t="inlineStr">
        <is>
          <t>Verify mutations strip extraneous database fields before sending to NestJS</t>
        </is>
      </c>
      <c r="F231" s="6" t="inlineStr">
        <is>
          <t>Seller editing package or submitting proposal.</t>
        </is>
      </c>
      <c r="G231" s="6" t="inlineStr">
        <is>
          <t>Payload with extra properties: { _id, starRating, sales, __v }.</t>
        </is>
      </c>
      <c r="H231" s="6" t="inlineStr">
        <is>
          <t>1. Inspect payload sent on package update or brief submission.
2. Verify that database IDs, calculated metrics, and relational fields are stripped.</t>
        </is>
      </c>
      <c r="I231" s="6" t="inlineStr">
        <is>
          <t>Payload is clean; contains only whitelisted DTO fields; backend accepts request without HTTP 400 'property X should not exist'.</t>
        </is>
      </c>
      <c r="J231" s="7" t="inlineStr">
        <is>
          <t>P1</t>
        </is>
      </c>
      <c r="K231" s="7" t="inlineStr">
        <is>
          <t>Integration</t>
        </is>
      </c>
      <c r="L231" s="7" t="inlineStr">
        <is>
          <t>Seller</t>
        </is>
      </c>
      <c r="M231" s="7" t="inlineStr">
        <is>
          <t>Desktop</t>
        </is>
      </c>
      <c r="N231" s="7" t="inlineStr">
        <is>
          <t>Not Run</t>
        </is>
      </c>
      <c r="O231" s="6" t="inlineStr"/>
      <c r="P231" s="7" t="inlineStr"/>
      <c r="Q231" s="6" t="inlineStr"/>
      <c r="R231" s="7" t="inlineStr"/>
      <c r="S231" s="6" t="inlineStr">
        <is>
          <t>DTO whitelist sanitization.</t>
        </is>
      </c>
    </row>
    <row r="232" ht="65" customHeight="1">
      <c r="A232" s="2" t="inlineStr">
        <is>
          <t>SEC-008</t>
        </is>
      </c>
      <c r="B232" s="3" t="inlineStr">
        <is>
          <t>Security &amp; RBAC</t>
        </is>
      </c>
      <c r="C232" s="3" t="inlineStr">
        <is>
          <t>/organize</t>
        </is>
      </c>
      <c r="D232" s="3" t="inlineStr">
        <is>
          <t>XSS Prevention in Rich Text Description</t>
        </is>
      </c>
      <c r="E232" s="3" t="inlineStr">
        <is>
          <t>Inject malicious script tags in Quill editor</t>
        </is>
      </c>
      <c r="F232" s="3" t="inlineStr">
        <is>
          <t>Seller on /organize description step.</t>
        </is>
      </c>
      <c r="G232" s="3" t="inlineStr">
        <is>
          <t>Payload: &lt;img src=x onerror=alert('XSS_QUILL')&gt;</t>
        </is>
      </c>
      <c r="H232" s="3" t="inlineStr">
        <is>
          <t>1. Inject XSS snippet into Quill description editor.
2. Save and view package on /package/[id].</t>
        </is>
      </c>
      <c r="I232" s="3" t="inlineStr">
        <is>
          <t>Quill and React escape the content; script does not execute; no modal alert triggers.</t>
        </is>
      </c>
      <c r="J232" s="4" t="inlineStr">
        <is>
          <t>P1</t>
        </is>
      </c>
      <c r="K232" s="4" t="inlineStr">
        <is>
          <t>Security</t>
        </is>
      </c>
      <c r="L232" s="4" t="inlineStr">
        <is>
          <t>Seller</t>
        </is>
      </c>
      <c r="M232" s="4" t="inlineStr">
        <is>
          <t>Desktop</t>
        </is>
      </c>
      <c r="N232" s="4" t="inlineStr">
        <is>
          <t>Not Run</t>
        </is>
      </c>
      <c r="O232" s="3" t="inlineStr"/>
      <c r="P232" s="4" t="inlineStr"/>
      <c r="Q232" s="3" t="inlineStr"/>
      <c r="R232" s="4" t="inlineStr"/>
      <c r="S232" s="3" t="inlineStr">
        <is>
          <t>Rich-text XSS prevention.</t>
        </is>
      </c>
    </row>
    <row r="233" ht="65" customHeight="1">
      <c r="A233" s="5" t="inlineStr">
        <is>
          <t>SEC-009</t>
        </is>
      </c>
      <c r="B233" s="6" t="inlineStr">
        <is>
          <t>Security &amp; RBAC</t>
        </is>
      </c>
      <c r="C233" s="6" t="inlineStr">
        <is>
          <t>/briefs/create</t>
        </is>
      </c>
      <c r="D233" s="6" t="inlineStr">
        <is>
          <t>XSS Prevention in Brief Form</t>
        </is>
      </c>
      <c r="E233" s="6" t="inlineStr">
        <is>
          <t>Inject script in Brief title and description inputs</t>
        </is>
      </c>
      <c r="F233" s="6" t="inlineStr">
        <is>
          <t>Buyer on /briefs/create.</t>
        </is>
      </c>
      <c r="G233" s="6" t="inlineStr">
        <is>
          <t>Payload: &lt;script&gt;document.location='http://attacker.com'&lt;/script&gt;</t>
        </is>
      </c>
      <c r="H233" s="6" t="inlineStr">
        <is>
          <t>1. Fill brief title and description with payload.
2. Post brief.
3. View brief on /briefs/[id].</t>
        </is>
      </c>
      <c r="I233" s="6" t="inlineStr">
        <is>
          <t>Text renders as literal escaped characters; browser does not redirect; XSS sanitized.</t>
        </is>
      </c>
      <c r="J233" s="7" t="inlineStr">
        <is>
          <t>P1</t>
        </is>
      </c>
      <c r="K233" s="7" t="inlineStr">
        <is>
          <t>Security</t>
        </is>
      </c>
      <c r="L233" s="7" t="inlineStr">
        <is>
          <t>Buyer</t>
        </is>
      </c>
      <c r="M233" s="7" t="inlineStr">
        <is>
          <t>Desktop</t>
        </is>
      </c>
      <c r="N233" s="7" t="inlineStr">
        <is>
          <t>Not Run</t>
        </is>
      </c>
      <c r="O233" s="6" t="inlineStr"/>
      <c r="P233" s="7" t="inlineStr"/>
      <c r="Q233" s="6" t="inlineStr"/>
      <c r="R233" s="7" t="inlineStr"/>
      <c r="S233" s="6" t="inlineStr">
        <is>
          <t>Input field XSS sanitization.</t>
        </is>
      </c>
    </row>
    <row r="234" ht="65" customHeight="1">
      <c r="A234" s="2" t="inlineStr">
        <is>
          <t>SEC-010</t>
        </is>
      </c>
      <c r="B234" s="3" t="inlineStr">
        <is>
          <t>Security &amp; RBAC</t>
        </is>
      </c>
      <c r="C234" s="3" t="inlineStr">
        <is>
          <t>Cookies</t>
        </is>
      </c>
      <c r="D234" s="3" t="inlineStr">
        <is>
          <t>SameSite &amp; Security Flags on Auth Cookies</t>
        </is>
      </c>
      <c r="E234" s="3" t="inlineStr">
        <is>
          <t>Inspect cookie configuration for accessToken and refreshToken</t>
        </is>
      </c>
      <c r="F234" s="3" t="inlineStr">
        <is>
          <t>User logged in.</t>
        </is>
      </c>
      <c r="G234" s="3" t="inlineStr">
        <is>
          <t>None.</t>
        </is>
      </c>
      <c r="H234" s="3" t="inlineStr">
        <is>
          <t>1. Open DevTools Application -&gt; Cookies.
2. Inspect 'accessToken', 'refreshToken', 'user', 'role'.</t>
        </is>
      </c>
      <c r="I234" s="3" t="inlineStr">
        <is>
          <t>Cookies have SameSite=Lax set; path=/; expired tokens cleared appropriately upon logout.</t>
        </is>
      </c>
      <c r="J234" s="4" t="inlineStr">
        <is>
          <t>P1</t>
        </is>
      </c>
      <c r="K234" s="4" t="inlineStr">
        <is>
          <t>Security</t>
        </is>
      </c>
      <c r="L234" s="4" t="inlineStr">
        <is>
          <t>Buyer / Seller</t>
        </is>
      </c>
      <c r="M234" s="4" t="inlineStr">
        <is>
          <t>Desktop</t>
        </is>
      </c>
      <c r="N234" s="4" t="inlineStr">
        <is>
          <t>Not Run</t>
        </is>
      </c>
      <c r="O234" s="3" t="inlineStr"/>
      <c r="P234" s="4" t="inlineStr"/>
      <c r="Q234" s="3" t="inlineStr"/>
      <c r="R234" s="4" t="inlineStr"/>
      <c r="S234" s="3" t="inlineStr">
        <is>
          <t>Cookie security attributes.</t>
        </is>
      </c>
    </row>
    <row r="235" ht="65" customHeight="1">
      <c r="A235" s="5" t="inlineStr">
        <is>
          <t>SEC-011</t>
        </is>
      </c>
      <c r="B235" s="6" t="inlineStr">
        <is>
          <t>Security &amp; RBAC</t>
        </is>
      </c>
      <c r="C235" s="6" t="inlineStr">
        <is>
          <t>/orders/[id]</t>
        </is>
      </c>
      <c r="D235" s="6" t="inlineStr">
        <is>
          <t>Order IDOR Boundary Check</t>
        </is>
      </c>
      <c r="E235" s="6" t="inlineStr">
        <is>
          <t>Attempt direct order parameter tampering (sequential ID increment)</t>
        </is>
      </c>
      <c r="F235" s="6" t="inlineStr">
        <is>
          <t>User has Order #100; attempts to access /orders/101.</t>
        </is>
      </c>
      <c r="G235" s="6" t="inlineStr">
        <is>
          <t>Order ID: 101</t>
        </is>
      </c>
      <c r="H235" s="6" t="inlineStr">
        <is>
          <t>1. In URL bar, manually change order ID from 100 to 101.
2. Press Enter.</t>
        </is>
      </c>
      <c r="I235" s="6" t="inlineStr">
        <is>
          <t>Backend rejects request with HTTP 403 Forbidden; frontend redirects to /orders with 'Access Denied' alert.</t>
        </is>
      </c>
      <c r="J235" s="7" t="inlineStr">
        <is>
          <t>P1</t>
        </is>
      </c>
      <c r="K235" s="7" t="inlineStr">
        <is>
          <t>Security</t>
        </is>
      </c>
      <c r="L235" s="7" t="inlineStr">
        <is>
          <t>Buyer / Seller</t>
        </is>
      </c>
      <c r="M235" s="7" t="inlineStr">
        <is>
          <t>Desktop</t>
        </is>
      </c>
      <c r="N235" s="7" t="inlineStr">
        <is>
          <t>Not Run</t>
        </is>
      </c>
      <c r="O235" s="6" t="inlineStr"/>
      <c r="P235" s="7" t="inlineStr"/>
      <c r="Q235" s="6" t="inlineStr"/>
      <c r="R235" s="7" t="inlineStr"/>
      <c r="S235" s="6" t="inlineStr">
        <is>
          <t>Insecure direct object reference guard.</t>
        </is>
      </c>
    </row>
    <row r="236" ht="65" customHeight="1">
      <c r="A236" s="2" t="inlineStr">
        <is>
          <t>SEC-012</t>
        </is>
      </c>
      <c r="B236" s="3" t="inlineStr">
        <is>
          <t>Security &amp; RBAC</t>
        </is>
      </c>
      <c r="C236" s="3" t="inlineStr">
        <is>
          <t>Global</t>
        </is>
      </c>
      <c r="D236" s="3" t="inlineStr">
        <is>
          <t>Logout Across Multiple Tabs</t>
        </is>
      </c>
      <c r="E236" s="3" t="inlineStr">
        <is>
          <t>Verify logging out in Tab 1 invalidates session in Tab 2</t>
        </is>
      </c>
      <c r="F236" s="3" t="inlineStr">
        <is>
          <t>Two browser tabs open to /dashboard with active user session.</t>
        </is>
      </c>
      <c r="G236" s="3" t="inlineStr">
        <is>
          <t>None.</t>
        </is>
      </c>
      <c r="H236" s="3" t="inlineStr">
        <is>
          <t>1. In Tab 1, click Log Out.
2. Switch to Tab 2 and click a navigation link (e.g. /profile).</t>
        </is>
      </c>
      <c r="I236" s="3" t="inlineStr">
        <is>
          <t>Tab 2 detects destroyed session/cleared cookies; redirects user to /login; protected data protected.</t>
        </is>
      </c>
      <c r="J236" s="4" t="inlineStr">
        <is>
          <t>P1</t>
        </is>
      </c>
      <c r="K236" s="4" t="inlineStr">
        <is>
          <t>Security</t>
        </is>
      </c>
      <c r="L236" s="4" t="inlineStr">
        <is>
          <t>Buyer / Seller</t>
        </is>
      </c>
      <c r="M236" s="4" t="inlineStr">
        <is>
          <t>Desktop</t>
        </is>
      </c>
      <c r="N236" s="4" t="inlineStr">
        <is>
          <t>Not Run</t>
        </is>
      </c>
      <c r="O236" s="3" t="inlineStr"/>
      <c r="P236" s="4" t="inlineStr"/>
      <c r="Q236" s="3" t="inlineStr"/>
      <c r="R236" s="4" t="inlineStr"/>
      <c r="S236" s="3" t="inlineStr">
        <is>
          <t>Cross-tab session invalidation.</t>
        </is>
      </c>
    </row>
    <row r="237" ht="65" customHeight="1">
      <c r="A237" s="5" t="inlineStr">
        <is>
          <t>SEC-013</t>
        </is>
      </c>
      <c r="B237" s="6" t="inlineStr">
        <is>
          <t>Security &amp; RBAC</t>
        </is>
      </c>
      <c r="C237" s="6" t="inlineStr">
        <is>
          <t>Uploads</t>
        </is>
      </c>
      <c r="D237" s="6" t="inlineStr">
        <is>
          <t>Malicious File Upload Boundary</t>
        </is>
      </c>
      <c r="E237" s="6" t="inlineStr">
        <is>
          <t>Attempt to upload executable (.exe, .sh, .bat) disguised as image</t>
        </is>
      </c>
      <c r="F237" s="6" t="inlineStr">
        <is>
          <t>On file upload input.</t>
        </is>
      </c>
      <c r="G237" s="6" t="inlineStr">
        <is>
          <t>File: script.sh.png or fake.exe with image headers.</t>
        </is>
      </c>
      <c r="H237" s="6" t="inlineStr">
        <is>
          <t>1. Attempt to upload disguised executable in avatar or gallery upload.</t>
        </is>
      </c>
      <c r="I237" s="6" t="inlineStr">
        <is>
          <t>Cloudinary / backend service validates true binary MIME type and rejects malicious file; upload fails with error notification.</t>
        </is>
      </c>
      <c r="J237" s="7" t="inlineStr">
        <is>
          <t>P1</t>
        </is>
      </c>
      <c r="K237" s="7" t="inlineStr">
        <is>
          <t>Security</t>
        </is>
      </c>
      <c r="L237" s="7" t="inlineStr">
        <is>
          <t>User</t>
        </is>
      </c>
      <c r="M237" s="7" t="inlineStr">
        <is>
          <t>Desktop</t>
        </is>
      </c>
      <c r="N237" s="7" t="inlineStr">
        <is>
          <t>Not Run</t>
        </is>
      </c>
      <c r="O237" s="6" t="inlineStr"/>
      <c r="P237" s="7" t="inlineStr"/>
      <c r="Q237" s="6" t="inlineStr"/>
      <c r="R237" s="7" t="inlineStr"/>
      <c r="S237" s="6" t="inlineStr">
        <is>
          <t>File execution vulnerability mitigation.</t>
        </is>
      </c>
    </row>
    <row r="238" ht="65" customHeight="1">
      <c r="A238" s="2" t="inlineStr">
        <is>
          <t>SEC-014</t>
        </is>
      </c>
      <c r="B238" s="3" t="inlineStr">
        <is>
          <t>Security &amp; RBAC</t>
        </is>
      </c>
      <c r="C238" s="3" t="inlineStr">
        <is>
          <t>/trust-safety</t>
        </is>
      </c>
      <c r="D238" s="3" t="inlineStr">
        <is>
          <t>Report Fraud &amp; Safety Center</t>
        </is>
      </c>
      <c r="E238" s="3" t="inlineStr">
        <is>
          <t>Verify platform reporting mechanism for suspicious packages or users</t>
        </is>
      </c>
      <c r="F238" s="3" t="inlineStr">
        <is>
          <t>None.</t>
        </is>
      </c>
      <c r="G238" s="3" t="inlineStr">
        <is>
          <t>None.</t>
        </is>
      </c>
      <c r="H238" s="3" t="inlineStr">
        <is>
          <t>1. Navigate to /trust-safety.
2. Inspect report fraud form/link.
3. Submit test safety inquiry.</t>
        </is>
      </c>
      <c r="I238" s="3" t="inlineStr">
        <is>
          <t>Report submission routes to support ticket queue for admin investigation; confirmation alert shown.</t>
        </is>
      </c>
      <c r="J238" s="4" t="inlineStr">
        <is>
          <t>P2</t>
        </is>
      </c>
      <c r="K238" s="4" t="inlineStr">
        <is>
          <t>Functional</t>
        </is>
      </c>
      <c r="L238" s="4" t="inlineStr">
        <is>
          <t>Public / User</t>
        </is>
      </c>
      <c r="M238" s="4" t="inlineStr">
        <is>
          <t>Desktop</t>
        </is>
      </c>
      <c r="N238" s="4" t="inlineStr">
        <is>
          <t>Not Run</t>
        </is>
      </c>
      <c r="O238" s="3" t="inlineStr"/>
      <c r="P238" s="4" t="inlineStr"/>
      <c r="Q238" s="3" t="inlineStr"/>
      <c r="R238" s="4" t="inlineStr"/>
      <c r="S238" s="3" t="inlineStr">
        <is>
          <t>Fraud reporting capability.</t>
        </is>
      </c>
    </row>
    <row r="239" ht="65" customHeight="1">
      <c r="A239" s="5" t="inlineStr">
        <is>
          <t>SEC-015</t>
        </is>
      </c>
      <c r="B239" s="6" t="inlineStr">
        <is>
          <t>Security &amp; RBAC</t>
        </is>
      </c>
      <c r="C239" s="6" t="inlineStr">
        <is>
          <t>/privacy</t>
        </is>
      </c>
      <c r="D239" s="6" t="inlineStr">
        <is>
          <t>Legal Compliance &amp; Suspense Boundary</t>
        </is>
      </c>
      <c r="E239" s="6" t="inlineStr">
        <is>
          <t>Verify /privacy and /terms render with Next.js Suspense compliance</t>
        </is>
      </c>
      <c r="F239" s="6" t="inlineStr">
        <is>
          <t>None.</t>
        </is>
      </c>
      <c r="G239" s="6" t="inlineStr">
        <is>
          <t>None.</t>
        </is>
      </c>
      <c r="H239" s="6" t="inlineStr">
        <is>
          <t>1. Navigate to /privacy and /terms.
2. Check browser console for missing Suspense boundary warnings.</t>
        </is>
      </c>
      <c r="I239" s="6" t="inlineStr">
        <is>
          <t>Pages render complete legal terms without React SSR hydration errors or useSearchParams Suspense warnings.</t>
        </is>
      </c>
      <c r="J239" s="7" t="inlineStr">
        <is>
          <t>P2</t>
        </is>
      </c>
      <c r="K239" s="7" t="inlineStr">
        <is>
          <t>UI</t>
        </is>
      </c>
      <c r="L239" s="7" t="inlineStr">
        <is>
          <t>Public</t>
        </is>
      </c>
      <c r="M239" s="7" t="inlineStr">
        <is>
          <t>Desktop</t>
        </is>
      </c>
      <c r="N239" s="7" t="inlineStr">
        <is>
          <t>Not Run</t>
        </is>
      </c>
      <c r="O239" s="6" t="inlineStr"/>
      <c r="P239" s="7" t="inlineStr"/>
      <c r="Q239" s="6" t="inlineStr"/>
      <c r="R239" s="7" t="inlineStr"/>
      <c r="S239" s="6" t="inlineStr">
        <is>
          <t>Next.js SSR compliance &amp; legal terms.</t>
        </is>
      </c>
    </row>
    <row r="240" ht="65" customHeight="1">
      <c r="A240" s="2" t="inlineStr">
        <is>
          <t>E2E-001</t>
        </is>
      </c>
      <c r="B240" s="3" t="inlineStr">
        <is>
          <t>End-to-End Journeys</t>
        </is>
      </c>
      <c r="C240" s="3" t="inlineStr">
        <is>
          <t>Multi-Route</t>
        </is>
      </c>
      <c r="D240" s="3" t="inlineStr">
        <is>
          <t>Complete Buyer Purchase to Delivery Approval</t>
        </is>
      </c>
      <c r="E240" s="3" t="inlineStr">
        <is>
          <t>End-to-end journey: Buyer searches catalog, buys package with Stripe, submits requirements, reviews delivery, and leaves 5-star rating</t>
        </is>
      </c>
      <c r="F240" s="3" t="inlineStr">
        <is>
          <t>Buyer with funded test card and active seller package in catalog.</t>
        </is>
      </c>
      <c r="G240" s="3" t="inlineStr">
        <is>
          <t>DATA-PAY-01 card.</t>
        </is>
      </c>
      <c r="H240" s="3" t="inlineStr">
        <is>
          <t>1. Buyer logs in and searches for package on /packages.
2. Opens package on /package/[id] and clicks 'Continue'.
3. Enters Stripe test card on /pay/[id] and completes payment.
4. Arrives at /success and navigates to /orders/[id].
5. Seller delivers work with ZIP file.
6. Buyer reviews delivery and clicks 'Accept &amp; Complete'.
7. Buyer submits 5-star review.</t>
        </is>
      </c>
      <c r="I240" s="3" t="inlineStr">
        <is>
          <t>Complete transaction completes without errors; escrow released to seller; order status transitions: Created -&gt; In Progress -&gt; Delivered -&gt; Completed; review displayed publicly.</t>
        </is>
      </c>
      <c r="J240" s="4" t="inlineStr">
        <is>
          <t>P1</t>
        </is>
      </c>
      <c r="K240" s="4" t="inlineStr">
        <is>
          <t>End-to-End</t>
        </is>
      </c>
      <c r="L240" s="4" t="inlineStr">
        <is>
          <t>Buyer</t>
        </is>
      </c>
      <c r="M240" s="4" t="inlineStr">
        <is>
          <t>Desktop</t>
        </is>
      </c>
      <c r="N240" s="4" t="inlineStr">
        <is>
          <t>Not Run</t>
        </is>
      </c>
      <c r="O240" s="3" t="inlineStr"/>
      <c r="P240" s="4" t="inlineStr"/>
      <c r="Q240" s="3" t="inlineStr"/>
      <c r="R240" s="4" t="inlineStr"/>
      <c r="S240" s="3" t="inlineStr">
        <is>
          <t>Full buyer lifecycle journey.</t>
        </is>
      </c>
    </row>
    <row r="241" ht="65" customHeight="1">
      <c r="A241" s="5" t="inlineStr">
        <is>
          <t>E2E-002</t>
        </is>
      </c>
      <c r="B241" s="6" t="inlineStr">
        <is>
          <t>End-to-End Journeys</t>
        </is>
      </c>
      <c r="C241" s="6" t="inlineStr">
        <is>
          <t>Multi-Route</t>
        </is>
      </c>
      <c r="D241" s="6" t="inlineStr">
        <is>
          <t>Complete Seller Onboarding to Payout</t>
        </is>
      </c>
      <c r="E241" s="6" t="inlineStr">
        <is>
          <t>End-to-end journey: Seller registers, completes KYC, creates package, receives order, delivers work, and reviews earnings</t>
        </is>
      </c>
      <c r="F241" s="6" t="inlineStr">
        <is>
          <t>New seller registration.</t>
        </is>
      </c>
      <c r="G241" s="6" t="inlineStr">
        <is>
          <t>DATA-AUTH-02, DATA-GIG-01, DATA-FILE-01.</t>
        </is>
      </c>
      <c r="H241" s="6" t="inlineStr">
        <is>
          <t>1. Register via /register?seller=true.
2. Complete KYC identity verification on /kyc.
3. Create 3-tier package on /organize and publish.
4. Receive order on /manage-orders.
5. Submit deliverables on /orders/[id].
6. Buyer approves order.
7. Check updated balance on /earnings.
8. Request payout.</t>
        </is>
      </c>
      <c r="I241" s="6" t="inlineStr">
        <is>
          <t>Seller successfully onboards, earns funds, and initiates payout; full operational flow verified.</t>
        </is>
      </c>
      <c r="J241" s="7" t="inlineStr">
        <is>
          <t>P1</t>
        </is>
      </c>
      <c r="K241" s="7" t="inlineStr">
        <is>
          <t>End-to-End</t>
        </is>
      </c>
      <c r="L241" s="7" t="inlineStr">
        <is>
          <t>Seller</t>
        </is>
      </c>
      <c r="M241" s="7" t="inlineStr">
        <is>
          <t>Desktop</t>
        </is>
      </c>
      <c r="N241" s="7" t="inlineStr">
        <is>
          <t>Not Run</t>
        </is>
      </c>
      <c r="O241" s="6" t="inlineStr"/>
      <c r="P241" s="7" t="inlineStr"/>
      <c r="Q241" s="6" t="inlineStr"/>
      <c r="R241" s="7" t="inlineStr"/>
      <c r="S241" s="6" t="inlineStr">
        <is>
          <t>Full seller operational journey.</t>
        </is>
      </c>
    </row>
    <row r="242" ht="65" customHeight="1">
      <c r="A242" s="2" t="inlineStr">
        <is>
          <t>E2E-003</t>
        </is>
      </c>
      <c r="B242" s="3" t="inlineStr">
        <is>
          <t>End-to-End Journeys</t>
        </is>
      </c>
      <c r="C242" s="3" t="inlineStr">
        <is>
          <t>Multi-Route</t>
        </is>
      </c>
      <c r="D242" s="3" t="inlineStr">
        <is>
          <t>Project Brief to Hire Workflow</t>
        </is>
      </c>
      <c r="E242" s="3" t="inlineStr">
        <is>
          <t>End-to-end journey: Buyer posts brief with AI, Seller submits proposal, Buyer reviews AI match and hires seller</t>
        </is>
      </c>
      <c r="F242" s="3" t="inlineStr">
        <is>
          <t>Buyer and Seller accounts ready.</t>
        </is>
      </c>
      <c r="G242" s="3" t="inlineStr">
        <is>
          <t>DATA-BRIEF-01, DATA-PROP-01.</t>
        </is>
      </c>
      <c r="H242" s="3" t="inlineStr">
        <is>
          <t>1. Buyer navigates to /briefs/create and uses 'Create with AI' to draft brief.
2. Buyer publishes brief.
3. Seller discovers brief on /briefs and clicks 'Send Proposal'.
4. Seller submits proposal with bid and timeline.
5. Buyer opens /briefs/[id]/proposals, audits proposals, and reviews AI match score.
6. Buyer clicks 'Hire Seller' and completes escrow checkout.</t>
        </is>
      </c>
      <c r="I242" s="3" t="inlineStr">
        <is>
          <t>Brief smoothly converts into active contract/order; escrow funded; both parties directed to order workspace.</t>
        </is>
      </c>
      <c r="J242" s="4" t="inlineStr">
        <is>
          <t>P1</t>
        </is>
      </c>
      <c r="K242" s="4" t="inlineStr">
        <is>
          <t>End-to-End</t>
        </is>
      </c>
      <c r="L242" s="4" t="inlineStr">
        <is>
          <t>Buyer / Seller</t>
        </is>
      </c>
      <c r="M242" s="4" t="inlineStr">
        <is>
          <t>Desktop</t>
        </is>
      </c>
      <c r="N242" s="4" t="inlineStr">
        <is>
          <t>Not Run</t>
        </is>
      </c>
      <c r="O242" s="3" t="inlineStr"/>
      <c r="P242" s="4" t="inlineStr"/>
      <c r="Q242" s="3" t="inlineStr"/>
      <c r="R242" s="4" t="inlineStr"/>
      <c r="S242" s="3" t="inlineStr">
        <is>
          <t>Full brief-to-contract journey.</t>
        </is>
      </c>
    </row>
    <row r="243" ht="65" customHeight="1">
      <c r="A243" s="5" t="inlineStr">
        <is>
          <t>E2E-004</t>
        </is>
      </c>
      <c r="B243" s="6" t="inlineStr">
        <is>
          <t>End-to-End Journeys</t>
        </is>
      </c>
      <c r="C243" s="6" t="inlineStr">
        <is>
          <t>Multi-Route</t>
        </is>
      </c>
      <c r="D243" s="6" t="inlineStr">
        <is>
          <t>Bidirectional Real-Time Negotiation &amp; Order</t>
        </is>
      </c>
      <c r="E243" s="6" t="inlineStr">
        <is>
          <t>End-to-end journey: Buyer and Seller converse via real-time chat, exchange attachments, and trigger custom offer</t>
        </is>
      </c>
      <c r="F243" s="6" t="inlineStr">
        <is>
          <t>Buyer and Seller active in chat.</t>
        </is>
      </c>
      <c r="G243" s="6" t="inlineStr">
        <is>
          <t>None.</t>
        </is>
      </c>
      <c r="H243" s="6" t="inlineStr">
        <is>
          <t>1. Buyer opens seller profile (/seller/[username]) and clicks 'Contact Me'.
2. Real-time chat opens on /messages.
3. Both parties exchange instant messages via Socket.io without reloading.
4. Buyer sends project asset attachment.
5. Seller sends custom offer or directs to package checkout.
6. Buyer accepts and completes payment.</t>
        </is>
      </c>
      <c r="I243" s="6" t="inlineStr">
        <is>
          <t>Real-time WebSocket interaction validated; zero dropped messages; seamless transition from inquiry to paid order.</t>
        </is>
      </c>
      <c r="J243" s="7" t="inlineStr">
        <is>
          <t>P1</t>
        </is>
      </c>
      <c r="K243" s="7" t="inlineStr">
        <is>
          <t>End-to-End</t>
        </is>
      </c>
      <c r="L243" s="7" t="inlineStr">
        <is>
          <t>Buyer / Seller</t>
        </is>
      </c>
      <c r="M243" s="7" t="inlineStr">
        <is>
          <t>Desktop</t>
        </is>
      </c>
      <c r="N243" s="7" t="inlineStr">
        <is>
          <t>Not Run</t>
        </is>
      </c>
      <c r="O243" s="6" t="inlineStr"/>
      <c r="P243" s="7" t="inlineStr"/>
      <c r="Q243" s="6" t="inlineStr"/>
      <c r="R243" s="7" t="inlineStr"/>
      <c r="S243" s="6" t="inlineStr">
        <is>
          <t>Communication-to-conversion flow.</t>
        </is>
      </c>
    </row>
    <row r="244" ht="65" customHeight="1">
      <c r="A244" s="2" t="inlineStr">
        <is>
          <t>E2E-005</t>
        </is>
      </c>
      <c r="B244" s="3" t="inlineStr">
        <is>
          <t>End-to-End Journeys</t>
        </is>
      </c>
      <c r="C244" s="3" t="inlineStr">
        <is>
          <t>Multi-Route</t>
        </is>
      </c>
      <c r="D244" s="3" t="inlineStr">
        <is>
          <t>Order Revision &amp; Deadline Extension Journey</t>
        </is>
      </c>
      <c r="E244" s="3" t="inlineStr">
        <is>
          <t>End-to-end journey: Order delivery revision requested, deadline extended, resubmitted, and accepted</t>
        </is>
      </c>
      <c r="F244" s="3" t="inlineStr">
        <is>
          <t>Order in progress on /orders/[id].</t>
        </is>
      </c>
      <c r="G244" s="3" t="inlineStr">
        <is>
          <t>None.</t>
        </is>
      </c>
      <c r="H244" s="3" t="inlineStr">
        <is>
          <t>1. Seller requests 3-day deadline extension on /orders/[id].
2. Buyer accepts extension; timer updates.
3. Seller delivers work.
4. Buyer requests revision with feedback notes.
5. Order status transitions to 'Revision Requested'.
6. Seller uploads updated deliverables.
7. Buyer accepts delivery and completes order.</t>
        </is>
      </c>
      <c r="I244" s="3" t="inlineStr">
        <is>
          <t>Complex order state machine verified through extension, revision, and resolution cycles.</t>
        </is>
      </c>
      <c r="J244" s="4" t="inlineStr">
        <is>
          <t>P1</t>
        </is>
      </c>
      <c r="K244" s="4" t="inlineStr">
        <is>
          <t>End-to-End</t>
        </is>
      </c>
      <c r="L244" s="4" t="inlineStr">
        <is>
          <t>Buyer / Seller</t>
        </is>
      </c>
      <c r="M244" s="4" t="inlineStr">
        <is>
          <t>Desktop</t>
        </is>
      </c>
      <c r="N244" s="4" t="inlineStr">
        <is>
          <t>Not Run</t>
        </is>
      </c>
      <c r="O244" s="3" t="inlineStr"/>
      <c r="P244" s="4" t="inlineStr"/>
      <c r="Q244" s="3" t="inlineStr"/>
      <c r="R244" s="4" t="inlineStr"/>
      <c r="S244" s="3" t="inlineStr">
        <is>
          <t>Order revision &amp; extension lifecycle.</t>
        </is>
      </c>
    </row>
    <row r="245" ht="65" customHeight="1">
      <c r="A245" s="5" t="inlineStr">
        <is>
          <t>E2E-006</t>
        </is>
      </c>
      <c r="B245" s="6" t="inlineStr">
        <is>
          <t>End-to-End Journeys</t>
        </is>
      </c>
      <c r="C245" s="6" t="inlineStr">
        <is>
          <t>Multi-Route</t>
        </is>
      </c>
      <c r="D245" s="6" t="inlineStr">
        <is>
          <t>Order Dispute Escalation &amp; Support Resolution</t>
        </is>
      </c>
      <c r="E245" s="6" t="inlineStr">
        <is>
          <t>End-to-end journey: Disputed order escalated to support, ticket created, and admin resolves dispute</t>
        </is>
      </c>
      <c r="F245" s="6" t="inlineStr">
        <is>
          <t>Active order with delivery disagreement.</t>
        </is>
      </c>
      <c r="G245" s="6" t="inlineStr">
        <is>
          <t>None.</t>
        </is>
      </c>
      <c r="H245" s="6" t="inlineStr">
        <is>
          <t>1. Buyer opens /orders/contact/[id] and clicks 'Contact Support' to dispute.
2. Ticket automatically created on /support/new.
3. Buyer and Support Agent exchange messages in /support/[id].
4. Admin reviews dispute on /admin/dashboard.
5. Admin issues 50/50 resolution.
6. Order marked resolved and funds distributed.</t>
        </is>
      </c>
      <c r="I245" s="6" t="inlineStr">
        <is>
          <t>Dispute resolution pathway functions cleanly without dead-ends.</t>
        </is>
      </c>
      <c r="J245" s="7" t="inlineStr">
        <is>
          <t>P1</t>
        </is>
      </c>
      <c r="K245" s="7" t="inlineStr">
        <is>
          <t>End-to-End</t>
        </is>
      </c>
      <c r="L245" s="7" t="inlineStr">
        <is>
          <t>Buyer / Admin</t>
        </is>
      </c>
      <c r="M245" s="7" t="inlineStr">
        <is>
          <t>Desktop</t>
        </is>
      </c>
      <c r="N245" s="7" t="inlineStr">
        <is>
          <t>Not Run</t>
        </is>
      </c>
      <c r="O245" s="6" t="inlineStr"/>
      <c r="P245" s="7" t="inlineStr"/>
      <c r="Q245" s="6" t="inlineStr"/>
      <c r="R245" s="7" t="inlineStr"/>
      <c r="S245" s="6" t="inlineStr">
        <is>
          <t>Dispute escalation flow.</t>
        </is>
      </c>
    </row>
    <row r="246" ht="65" customHeight="1">
      <c r="A246" s="2" t="inlineStr">
        <is>
          <t>E2E-007</t>
        </is>
      </c>
      <c r="B246" s="3" t="inlineStr">
        <is>
          <t>End-to-End Journeys</t>
        </is>
      </c>
      <c r="C246" s="3" t="inlineStr">
        <is>
          <t>Multi-Route</t>
        </is>
      </c>
      <c r="D246" s="3" t="inlineStr">
        <is>
          <t>Password Reset &amp; Re-Authentication Journey</t>
        </is>
      </c>
      <c r="E246" s="3" t="inlineStr">
        <is>
          <t>End-to-end journey: Forgotten password requested, email token verified, password updated, and successful login</t>
        </is>
      </c>
      <c r="F246" s="3" t="inlineStr">
        <is>
          <t>Registered buyer account.</t>
        </is>
      </c>
      <c r="G246" s="3" t="inlineStr">
        <is>
          <t>DATA-AUTH-01.</t>
        </is>
      </c>
      <c r="H246" s="3" t="inlineStr">
        <is>
          <t>1. On /login, click 'Forgot Password?'.
2. Enter registered email on /forgot-password.
3. Click reset link in email to reach /reset-password?token=...
4. Enter new secure password and submit.
5. Redirected to /login; sign in with new password.</t>
        </is>
      </c>
      <c r="I246" s="3" t="inlineStr">
        <is>
          <t>User successfully recovers account; old credentials invalidated; new credentials authenticated.</t>
        </is>
      </c>
      <c r="J246" s="4" t="inlineStr">
        <is>
          <t>P1</t>
        </is>
      </c>
      <c r="K246" s="4" t="inlineStr">
        <is>
          <t>End-to-End</t>
        </is>
      </c>
      <c r="L246" s="4" t="inlineStr">
        <is>
          <t>Guest</t>
        </is>
      </c>
      <c r="M246" s="4" t="inlineStr">
        <is>
          <t>Desktop</t>
        </is>
      </c>
      <c r="N246" s="4" t="inlineStr">
        <is>
          <t>Not Run</t>
        </is>
      </c>
      <c r="O246" s="3" t="inlineStr"/>
      <c r="P246" s="4" t="inlineStr"/>
      <c r="Q246" s="3" t="inlineStr"/>
      <c r="R246" s="4" t="inlineStr"/>
      <c r="S246" s="3" t="inlineStr">
        <is>
          <t>Full self-service recovery.</t>
        </is>
      </c>
    </row>
    <row r="247" ht="65" customHeight="1">
      <c r="A247" s="5" t="inlineStr">
        <is>
          <t>E2E-008</t>
        </is>
      </c>
      <c r="B247" s="6" t="inlineStr">
        <is>
          <t>End-to-End Journeys</t>
        </is>
      </c>
      <c r="C247" s="6" t="inlineStr">
        <is>
          <t>Multi-Route</t>
        </is>
      </c>
      <c r="D247" s="6" t="inlineStr">
        <is>
          <t>Complete Mobile Responsive Discovery &amp; Checkout</t>
        </is>
      </c>
      <c r="E247" s="6" t="inlineStr">
        <is>
          <t>End-to-end journey: Entire mobile flow on 390x844 from homepage discovery to completed checkout</t>
        </is>
      </c>
      <c r="F247" s="6" t="inlineStr">
        <is>
          <t>Mobile viewport emulation (390 x 844).</t>
        </is>
      </c>
      <c r="G247" s="6" t="inlineStr">
        <is>
          <t>DATA-PAY-01.</t>
        </is>
      </c>
      <c r="H247" s="6" t="inlineStr">
        <is>
          <t>1. Open / on mobile; use mobile drawer navigation to browse /packages.
2. Apply category and price filters.
3. Select package card to view /package/[id].
4. Use mobile bottom sticky bar to continue to checkout.
5. Complete Stripe payment on /pay/[id].
6. Inspect /success confirmation.</t>
        </is>
      </c>
      <c r="I247" s="6" t="inlineStr">
        <is>
          <t>All mobile interactions function smoothly; zero horizontal overflow; mobile keyboard handled cleanly.</t>
        </is>
      </c>
      <c r="J247" s="7" t="inlineStr">
        <is>
          <t>P1</t>
        </is>
      </c>
      <c r="K247" s="7" t="inlineStr">
        <is>
          <t>End-to-End</t>
        </is>
      </c>
      <c r="L247" s="7" t="inlineStr">
        <is>
          <t>Buyer</t>
        </is>
      </c>
      <c r="M247" s="7" t="inlineStr">
        <is>
          <t>Mobile</t>
        </is>
      </c>
      <c r="N247" s="7" t="inlineStr">
        <is>
          <t>Not Run</t>
        </is>
      </c>
      <c r="O247" s="6" t="inlineStr"/>
      <c r="P247" s="7" t="inlineStr"/>
      <c r="Q247" s="6" t="inlineStr"/>
      <c r="R247" s="7" t="inlineStr"/>
      <c r="S247" s="6" t="inlineStr">
        <is>
          <t>Mobile discovery and purchase.</t>
        </is>
      </c>
    </row>
    <row r="248" ht="65" customHeight="1">
      <c r="A248" s="2" t="inlineStr">
        <is>
          <t>E2E-009</t>
        </is>
      </c>
      <c r="B248" s="3" t="inlineStr">
        <is>
          <t>End-to-End Journeys</t>
        </is>
      </c>
      <c r="C248" s="3" t="inlineStr">
        <is>
          <t>Multi-Route</t>
        </is>
      </c>
      <c r="D248" s="3" t="inlineStr">
        <is>
          <t>Role Switching &amp; Header Navigation</t>
        </is>
      </c>
      <c r="E248" s="3" t="inlineStr">
        <is>
          <t>Verify buyer who is also a seller switches between Buyer and Seller modes seamlessly</t>
        </is>
      </c>
      <c r="F248" s="3" t="inlineStr">
        <is>
          <t>User account with both Buyer and Seller capabilities enabled.</t>
        </is>
      </c>
      <c r="G248" s="3" t="inlineStr">
        <is>
          <t>None.</t>
        </is>
      </c>
      <c r="H248" s="3" t="inlineStr">
        <is>
          <t>1. Log in to /dashboard.
2. In user profile dropdown, click 'Switch to Selling'.
3. Verify navbar links update to Seller navigation (Manage Orders, Earnings, My Packages).
4. Click 'Switch to Buying'.
5. Verify navbar links return to Buyer navigation (Orders, Favorites, Post a Brief).</t>
        </is>
      </c>
      <c r="I248" s="3" t="inlineStr">
        <is>
          <t>Header links and dashboard views toggle seamlessly without requiring re-login; role state synced.</t>
        </is>
      </c>
      <c r="J248" s="4" t="inlineStr">
        <is>
          <t>P2</t>
        </is>
      </c>
      <c r="K248" s="4" t="inlineStr">
        <is>
          <t>End-to-End</t>
        </is>
      </c>
      <c r="L248" s="4" t="inlineStr">
        <is>
          <t>Buyer / Seller</t>
        </is>
      </c>
      <c r="M248" s="4" t="inlineStr">
        <is>
          <t>Desktop</t>
        </is>
      </c>
      <c r="N248" s="4" t="inlineStr">
        <is>
          <t>Not Run</t>
        </is>
      </c>
      <c r="O248" s="3" t="inlineStr"/>
      <c r="P248" s="4" t="inlineStr"/>
      <c r="Q248" s="3" t="inlineStr"/>
      <c r="R248" s="4" t="inlineStr"/>
      <c r="S248" s="3" t="inlineStr">
        <is>
          <t>Dual-role toggle usability.</t>
        </is>
      </c>
    </row>
    <row r="249" ht="65" customHeight="1">
      <c r="A249" s="5" t="inlineStr">
        <is>
          <t>E2E-010</t>
        </is>
      </c>
      <c r="B249" s="6" t="inlineStr">
        <is>
          <t>End-to-End Journeys</t>
        </is>
      </c>
      <c r="C249" s="6" t="inlineStr">
        <is>
          <t>Multi-Route</t>
        </is>
      </c>
      <c r="D249" s="6" t="inlineStr">
        <is>
          <t>Session Expiry &amp; Seamless Silent Refresh</t>
        </is>
      </c>
      <c r="E249" s="6" t="inlineStr">
        <is>
          <t>End-to-end journey: Expired access token triggers silent refresh during active user journey without disruption</t>
        </is>
      </c>
      <c r="F249" s="6" t="inlineStr">
        <is>
          <t>User active with expired access token but valid refresh token.</t>
        </is>
      </c>
      <c r="G249" s="6" t="inlineStr">
        <is>
          <t>None.</t>
        </is>
      </c>
      <c r="H249" s="6" t="inlineStr">
        <is>
          <t>1. Expire accessToken in cookies.
2. Navigate between /dashboard, /orders, and /messages.
3. Trigger an action (e.g. mark notification read).</t>
        </is>
      </c>
      <c r="I249" s="6" t="inlineStr">
        <is>
          <t>Application executes token refresh transparently; no redirect to /login; user action succeeds without disruption.</t>
        </is>
      </c>
      <c r="J249" s="7" t="inlineStr">
        <is>
          <t>P1</t>
        </is>
      </c>
      <c r="K249" s="7" t="inlineStr">
        <is>
          <t>End-to-End</t>
        </is>
      </c>
      <c r="L249" s="7" t="inlineStr">
        <is>
          <t>Buyer / Seller</t>
        </is>
      </c>
      <c r="M249" s="7" t="inlineStr">
        <is>
          <t>Desktop</t>
        </is>
      </c>
      <c r="N249" s="7" t="inlineStr">
        <is>
          <t>Not Run</t>
        </is>
      </c>
      <c r="O249" s="6" t="inlineStr"/>
      <c r="P249" s="7" t="inlineStr"/>
      <c r="Q249" s="6" t="inlineStr"/>
      <c r="R249" s="7" t="inlineStr"/>
      <c r="S249" s="6" t="inlineStr">
        <is>
          <t>Silent token renewal end-to-end.</t>
        </is>
      </c>
    </row>
  </sheetData>
  <autoFilter ref="A1:S249"/>
  <conditionalFormatting sqref="N2:N249">
    <cfRule type="cellIs" priority="1" operator="equal" dxfId="0" stopIfTrue="1">
      <formula>"Pass"</formula>
    </cfRule>
    <cfRule type="cellIs" priority="2" operator="equal" dxfId="1" stopIfTrue="1">
      <formula>"Fail"</formula>
    </cfRule>
    <cfRule type="cellIs" priority="3" operator="equal" dxfId="2" stopIfTrue="1">
      <formula>"Blocked"</formula>
    </cfRule>
    <cfRule type="cellIs" priority="4" operator="equal" dxfId="3" stopIfTrue="1">
      <formula>"Not Run"</formula>
    </cfRule>
  </conditionalFormatting>
  <dataValidations count="4">
    <dataValidation sqref="N2:N249" showDropDown="0" showInputMessage="0" showErrorMessage="0" allowBlank="0" type="list">
      <formula1>"Not Run,Pass,Fail,Blocked,Not Applicable"</formula1>
    </dataValidation>
    <dataValidation sqref="J2:J249" showDropDown="0" showInputMessage="0" showErrorMessage="0" allowBlank="0" type="list">
      <formula1>"P1,P2,P3,P4"</formula1>
    </dataValidation>
    <dataValidation sqref="K2:K249" showDropDown="0" showInputMessage="0" showErrorMessage="0" allowBlank="1" type="list">
      <formula1>"Functional,Negative,Boundary,UI,Responsive,Integration,Security,End-to-End"</formula1>
    </dataValidation>
    <dataValidation sqref="L2:L249" showDropDown="0" showInputMessage="0" showErrorMessage="0" allowBlank="1" type="list">
      <formula1>"Guest,Buyer,Seller,Admin,Any,Public"</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26" customWidth="1" min="1" max="1"/>
    <col width="14" customWidth="1" min="2" max="2"/>
    <col width="14" customWidth="1" min="3" max="3"/>
    <col width="8" customWidth="1" min="4" max="4"/>
    <col width="10" customWidth="1" min="5" max="5"/>
    <col width="42" customWidth="1" min="6" max="6"/>
    <col width="10" customWidth="1" min="7" max="7"/>
    <col width="10" customWidth="1" min="8" max="8"/>
    <col width="10" customWidth="1" min="9" max="9"/>
    <col width="10" customWidth="1" min="10" max="10"/>
    <col width="10" customWidth="1" min="11" max="11"/>
    <col width="12" customWidth="1" min="12" max="12"/>
  </cols>
  <sheetData>
    <row r="1" ht="40" customHeight="1">
      <c r="A1" s="8" t="inlineStr">
        <is>
          <t>WORKVENCE PLATFORM - MANUAL TEST EXECUTION SUMMARY</t>
        </is>
      </c>
    </row>
    <row r="2" ht="20" customHeight="1">
      <c r="A2" s="9" t="inlineStr">
        <is>
          <t>Real-time automated status metrics, priority breakdown, and pass-rate calculations</t>
        </is>
      </c>
    </row>
    <row r="4">
      <c r="A4" s="10" t="inlineStr">
        <is>
          <t>OVERALL EXECUTION STATUS</t>
        </is>
      </c>
      <c r="E4" s="10" t="inlineStr">
        <is>
          <t>BREAKDOWN BY PRIORITY</t>
        </is>
      </c>
    </row>
    <row r="5">
      <c r="A5" s="1" t="inlineStr">
        <is>
          <t>Metric</t>
        </is>
      </c>
      <c r="B5" s="1" t="inlineStr">
        <is>
          <t>Count</t>
        </is>
      </c>
      <c r="C5" s="1" t="inlineStr">
        <is>
          <t>% of Total</t>
        </is>
      </c>
      <c r="E5" s="1" t="inlineStr">
        <is>
          <t>Priority</t>
        </is>
      </c>
      <c r="F5" s="1" t="inlineStr">
        <is>
          <t>Description</t>
        </is>
      </c>
      <c r="G5" s="1" t="inlineStr">
        <is>
          <t>Total</t>
        </is>
      </c>
      <c r="H5" s="1" t="inlineStr">
        <is>
          <t>Not Run</t>
        </is>
      </c>
      <c r="I5" s="1" t="inlineStr">
        <is>
          <t>Pass</t>
        </is>
      </c>
      <c r="J5" s="1" t="inlineStr">
        <is>
          <t>Fail</t>
        </is>
      </c>
      <c r="K5" s="1" t="inlineStr">
        <is>
          <t>Blocked</t>
        </is>
      </c>
      <c r="L5" s="1" t="inlineStr">
        <is>
          <t>Pass Rate</t>
        </is>
      </c>
    </row>
    <row r="6" ht="22" customHeight="1">
      <c r="A6" s="11" t="inlineStr">
        <is>
          <t>Total Test Cases</t>
        </is>
      </c>
      <c r="B6" s="12">
        <f>COUNTA('TEST CASES'!A2:A249)</f>
        <v/>
      </c>
      <c r="C6" s="13" t="inlineStr">
        <is>
          <t>100.0%</t>
        </is>
      </c>
      <c r="E6" s="12" t="inlineStr">
        <is>
          <t>P1</t>
        </is>
      </c>
      <c r="F6" s="14" t="inlineStr">
        <is>
          <t>Critical (Auth, Escrow, Orders, Gateways)</t>
        </is>
      </c>
      <c r="G6" s="15">
        <f>COUNTIFS('TEST CASES'!$J$2:$J$249, "P1")</f>
        <v/>
      </c>
      <c r="H6" s="15">
        <f>COUNTIFS('TEST CASES'!$J$2:$J$249, "P1", 'TEST CASES'!$N$2:$N$249, "Not Run")</f>
        <v/>
      </c>
      <c r="I6" s="15">
        <f>COUNTIFS('TEST CASES'!$J$2:$J$249, "P1", 'TEST CASES'!$N$2:$N$249, "Pass")</f>
        <v/>
      </c>
      <c r="J6" s="15">
        <f>COUNTIFS('TEST CASES'!$J$2:$J$249, "P1", 'TEST CASES'!$N$2:$N$249, "Fail")</f>
        <v/>
      </c>
      <c r="K6" s="15">
        <f>COUNTIFS('TEST CASES'!$J$2:$J$249, "P1", 'TEST CASES'!$N$2:$N$249, "Blocked")</f>
        <v/>
      </c>
      <c r="L6" s="13">
        <f>IF((G6-H6)&gt;0, I6/(G6-H6), 0)</f>
        <v/>
      </c>
    </row>
    <row r="7" ht="22" customHeight="1">
      <c r="A7" s="16" t="inlineStr">
        <is>
          <t>Not Run</t>
        </is>
      </c>
      <c r="B7" s="15">
        <f>COUNTIF('TEST CASES'!N2:N249, "Not Run")</f>
        <v/>
      </c>
      <c r="C7" s="13">
        <f>B7/B6</f>
        <v/>
      </c>
      <c r="E7" s="12" t="inlineStr">
        <is>
          <t>P2</t>
        </is>
      </c>
      <c r="F7" s="14" t="inlineStr">
        <is>
          <t>High (Features, Search, Filters, Proposals)</t>
        </is>
      </c>
      <c r="G7" s="15">
        <f>COUNTIFS('TEST CASES'!$J$2:$J$249, "P2")</f>
        <v/>
      </c>
      <c r="H7" s="15">
        <f>COUNTIFS('TEST CASES'!$J$2:$J$249, "P2", 'TEST CASES'!$N$2:$N$249, "Not Run")</f>
        <v/>
      </c>
      <c r="I7" s="15">
        <f>COUNTIFS('TEST CASES'!$J$2:$J$249, "P2", 'TEST CASES'!$N$2:$N$249, "Pass")</f>
        <v/>
      </c>
      <c r="J7" s="15">
        <f>COUNTIFS('TEST CASES'!$J$2:$J$249, "P2", 'TEST CASES'!$N$2:$N$249, "Fail")</f>
        <v/>
      </c>
      <c r="K7" s="15">
        <f>COUNTIFS('TEST CASES'!$J$2:$J$249, "P2", 'TEST CASES'!$N$2:$N$249, "Blocked")</f>
        <v/>
      </c>
      <c r="L7" s="13">
        <f>IF((G7-H7)&gt;0, I7/(G7-H7), 0)</f>
        <v/>
      </c>
    </row>
    <row r="8" ht="22" customHeight="1">
      <c r="A8" s="16" t="inlineStr">
        <is>
          <t>Pass</t>
        </is>
      </c>
      <c r="B8" s="15">
        <f>COUNTIF('TEST CASES'!N2:N249, "Pass")</f>
        <v/>
      </c>
      <c r="C8" s="13">
        <f>B8/B6</f>
        <v/>
      </c>
      <c r="E8" s="12" t="inlineStr">
        <is>
          <t>P3</t>
        </is>
      </c>
      <c r="F8" s="14" t="inlineStr">
        <is>
          <t>Medium (UI Interactivity, Polish, Content)</t>
        </is>
      </c>
      <c r="G8" s="15">
        <f>COUNTIFS('TEST CASES'!$J$2:$J$249, "P3")</f>
        <v/>
      </c>
      <c r="H8" s="15">
        <f>COUNTIFS('TEST CASES'!$J$2:$J$249, "P3", 'TEST CASES'!$N$2:$N$249, "Not Run")</f>
        <v/>
      </c>
      <c r="I8" s="15">
        <f>COUNTIFS('TEST CASES'!$J$2:$J$249, "P3", 'TEST CASES'!$N$2:$N$249, "Pass")</f>
        <v/>
      </c>
      <c r="J8" s="15">
        <f>COUNTIFS('TEST CASES'!$J$2:$J$249, "P3", 'TEST CASES'!$N$2:$N$249, "Fail")</f>
        <v/>
      </c>
      <c r="K8" s="15">
        <f>COUNTIFS('TEST CASES'!$J$2:$J$249, "P3", 'TEST CASES'!$N$2:$N$249, "Blocked")</f>
        <v/>
      </c>
      <c r="L8" s="13">
        <f>IF((G8-H8)&gt;0, I8/(G8-H8), 0)</f>
        <v/>
      </c>
    </row>
    <row r="9" ht="22" customHeight="1">
      <c r="A9" s="16" t="inlineStr">
        <is>
          <t>Fail</t>
        </is>
      </c>
      <c r="B9" s="15">
        <f>COUNTIF('TEST CASES'!N2:N249, "Fail")</f>
        <v/>
      </c>
      <c r="C9" s="13">
        <f>B9/B6</f>
        <v/>
      </c>
      <c r="E9" s="12" t="inlineStr">
        <is>
          <t>P4</t>
        </is>
      </c>
      <c r="F9" s="14" t="inlineStr">
        <is>
          <t>Low (Minor Visuals &amp; Low Impact Usability)</t>
        </is>
      </c>
      <c r="G9" s="15">
        <f>COUNTIFS('TEST CASES'!$J$2:$J$249, "P4")</f>
        <v/>
      </c>
      <c r="H9" s="15">
        <f>COUNTIFS('TEST CASES'!$J$2:$J$249, "P4", 'TEST CASES'!$N$2:$N$249, "Not Run")</f>
        <v/>
      </c>
      <c r="I9" s="15">
        <f>COUNTIFS('TEST CASES'!$J$2:$J$249, "P4", 'TEST CASES'!$N$2:$N$249, "Pass")</f>
        <v/>
      </c>
      <c r="J9" s="15">
        <f>COUNTIFS('TEST CASES'!$J$2:$J$249, "P4", 'TEST CASES'!$N$2:$N$249, "Fail")</f>
        <v/>
      </c>
      <c r="K9" s="15">
        <f>COUNTIFS('TEST CASES'!$J$2:$J$249, "P4", 'TEST CASES'!$N$2:$N$249, "Blocked")</f>
        <v/>
      </c>
      <c r="L9" s="13">
        <f>IF((G9-H9)&gt;0, I9/(G9-H9), 0)</f>
        <v/>
      </c>
    </row>
    <row r="10" ht="22" customHeight="1">
      <c r="A10" s="16" t="inlineStr">
        <is>
          <t>Blocked</t>
        </is>
      </c>
      <c r="B10" s="15">
        <f>COUNTIF('TEST CASES'!N2:N249, "Blocked")</f>
        <v/>
      </c>
      <c r="C10" s="13">
        <f>B10/B6</f>
        <v/>
      </c>
    </row>
    <row r="11" ht="22" customHeight="1">
      <c r="A11" s="16" t="inlineStr">
        <is>
          <t>Not Applicable</t>
        </is>
      </c>
      <c r="B11" s="15">
        <f>COUNTIF('TEST CASES'!N2:N249, "Not Applicable")</f>
        <v/>
      </c>
      <c r="C11" s="13">
        <f>B11/B6</f>
        <v/>
      </c>
    </row>
    <row r="13">
      <c r="A13" s="17" t="inlineStr">
        <is>
          <t>Execution Progress:</t>
        </is>
      </c>
      <c r="B13" s="18">
        <f>(B6-B7)/B6</f>
        <v/>
      </c>
    </row>
    <row r="14">
      <c r="A14" s="17" t="inlineStr">
        <is>
          <t>Pass Rate (of Executed):</t>
        </is>
      </c>
      <c r="B14" s="18">
        <f>IF((B6-B7-B11)&gt;0, B8/(B6-B7-B11), 0)</f>
        <v/>
      </c>
    </row>
    <row r="16">
      <c r="A16" s="10" t="inlineStr">
        <is>
          <t>BREAKDOWN BY TEST TYPE</t>
        </is>
      </c>
    </row>
    <row r="17">
      <c r="A17" s="1" t="inlineStr">
        <is>
          <t>Test Type</t>
        </is>
      </c>
      <c r="B17" s="1" t="inlineStr">
        <is>
          <t>Total</t>
        </is>
      </c>
      <c r="C17" s="1" t="inlineStr">
        <is>
          <t>Not Run</t>
        </is>
      </c>
      <c r="D17" s="1" t="inlineStr">
        <is>
          <t>Pass</t>
        </is>
      </c>
      <c r="E17" s="1" t="inlineStr">
        <is>
          <t>Fail</t>
        </is>
      </c>
      <c r="F17" s="1" t="inlineStr">
        <is>
          <t>Blocked</t>
        </is>
      </c>
      <c r="G17" s="1" t="inlineStr">
        <is>
          <t>Pass Rate</t>
        </is>
      </c>
    </row>
    <row r="18" ht="20" customHeight="1">
      <c r="A18" s="14" t="inlineStr">
        <is>
          <t>Functional</t>
        </is>
      </c>
      <c r="B18" s="15">
        <f>COUNTIFS('TEST CASES'!$K$2:$K$249, "Functional")</f>
        <v/>
      </c>
      <c r="C18" s="15">
        <f>COUNTIFS('TEST CASES'!$K$2:$K$249, "Functional", 'TEST CASES'!$N$2:$N$249, "Not Run")</f>
        <v/>
      </c>
      <c r="D18" s="15">
        <f>COUNTIFS('TEST CASES'!$K$2:$K$249, "Functional", 'TEST CASES'!$N$2:$N$249, "Pass")</f>
        <v/>
      </c>
      <c r="E18" s="15">
        <f>COUNTIFS('TEST CASES'!$K$2:$K$249, "Functional", 'TEST CASES'!$N$2:$N$249, "Fail")</f>
        <v/>
      </c>
      <c r="F18" s="15">
        <f>COUNTIFS('TEST CASES'!$K$2:$K$249, "Functional", 'TEST CASES'!$N$2:$N$249, "Blocked")</f>
        <v/>
      </c>
      <c r="G18" s="13">
        <f>IF((B18-C18)&gt;0, D18/(B18-C18), 0)</f>
        <v/>
      </c>
    </row>
    <row r="19" ht="20" customHeight="1">
      <c r="A19" s="14" t="inlineStr">
        <is>
          <t>Negative</t>
        </is>
      </c>
      <c r="B19" s="15">
        <f>COUNTIFS('TEST CASES'!$K$2:$K$249, "Negative")</f>
        <v/>
      </c>
      <c r="C19" s="15">
        <f>COUNTIFS('TEST CASES'!$K$2:$K$249, "Negative", 'TEST CASES'!$N$2:$N$249, "Not Run")</f>
        <v/>
      </c>
      <c r="D19" s="15">
        <f>COUNTIFS('TEST CASES'!$K$2:$K$249, "Negative", 'TEST CASES'!$N$2:$N$249, "Pass")</f>
        <v/>
      </c>
      <c r="E19" s="15">
        <f>COUNTIFS('TEST CASES'!$K$2:$K$249, "Negative", 'TEST CASES'!$N$2:$N$249, "Fail")</f>
        <v/>
      </c>
      <c r="F19" s="15">
        <f>COUNTIFS('TEST CASES'!$K$2:$K$249, "Negative", 'TEST CASES'!$N$2:$N$249, "Blocked")</f>
        <v/>
      </c>
      <c r="G19" s="13">
        <f>IF((B19-C19)&gt;0, D19/(B19-C19), 0)</f>
        <v/>
      </c>
    </row>
    <row r="20" ht="20" customHeight="1">
      <c r="A20" s="14" t="inlineStr">
        <is>
          <t>Boundary</t>
        </is>
      </c>
      <c r="B20" s="15">
        <f>COUNTIFS('TEST CASES'!$K$2:$K$249, "Boundary")</f>
        <v/>
      </c>
      <c r="C20" s="15">
        <f>COUNTIFS('TEST CASES'!$K$2:$K$249, "Boundary", 'TEST CASES'!$N$2:$N$249, "Not Run")</f>
        <v/>
      </c>
      <c r="D20" s="15">
        <f>COUNTIFS('TEST CASES'!$K$2:$K$249, "Boundary", 'TEST CASES'!$N$2:$N$249, "Pass")</f>
        <v/>
      </c>
      <c r="E20" s="15">
        <f>COUNTIFS('TEST CASES'!$K$2:$K$249, "Boundary", 'TEST CASES'!$N$2:$N$249, "Fail")</f>
        <v/>
      </c>
      <c r="F20" s="15">
        <f>COUNTIFS('TEST CASES'!$K$2:$K$249, "Boundary", 'TEST CASES'!$N$2:$N$249, "Blocked")</f>
        <v/>
      </c>
      <c r="G20" s="13">
        <f>IF((B20-C20)&gt;0, D20/(B20-C20), 0)</f>
        <v/>
      </c>
    </row>
    <row r="21" ht="20" customHeight="1">
      <c r="A21" s="14" t="inlineStr">
        <is>
          <t>UI</t>
        </is>
      </c>
      <c r="B21" s="15">
        <f>COUNTIFS('TEST CASES'!$K$2:$K$249, "UI")</f>
        <v/>
      </c>
      <c r="C21" s="15">
        <f>COUNTIFS('TEST CASES'!$K$2:$K$249, "UI", 'TEST CASES'!$N$2:$N$249, "Not Run")</f>
        <v/>
      </c>
      <c r="D21" s="15">
        <f>COUNTIFS('TEST CASES'!$K$2:$K$249, "UI", 'TEST CASES'!$N$2:$N$249, "Pass")</f>
        <v/>
      </c>
      <c r="E21" s="15">
        <f>COUNTIFS('TEST CASES'!$K$2:$K$249, "UI", 'TEST CASES'!$N$2:$N$249, "Fail")</f>
        <v/>
      </c>
      <c r="F21" s="15">
        <f>COUNTIFS('TEST CASES'!$K$2:$K$249, "UI", 'TEST CASES'!$N$2:$N$249, "Blocked")</f>
        <v/>
      </c>
      <c r="G21" s="13">
        <f>IF((B21-C21)&gt;0, D21/(B21-C21), 0)</f>
        <v/>
      </c>
    </row>
    <row r="22" ht="20" customHeight="1">
      <c r="A22" s="14" t="inlineStr">
        <is>
          <t>Responsive</t>
        </is>
      </c>
      <c r="B22" s="15">
        <f>COUNTIFS('TEST CASES'!$K$2:$K$249, "Responsive")</f>
        <v/>
      </c>
      <c r="C22" s="15">
        <f>COUNTIFS('TEST CASES'!$K$2:$K$249, "Responsive", 'TEST CASES'!$N$2:$N$249, "Not Run")</f>
        <v/>
      </c>
      <c r="D22" s="15">
        <f>COUNTIFS('TEST CASES'!$K$2:$K$249, "Responsive", 'TEST CASES'!$N$2:$N$249, "Pass")</f>
        <v/>
      </c>
      <c r="E22" s="15">
        <f>COUNTIFS('TEST CASES'!$K$2:$K$249, "Responsive", 'TEST CASES'!$N$2:$N$249, "Fail")</f>
        <v/>
      </c>
      <c r="F22" s="15">
        <f>COUNTIFS('TEST CASES'!$K$2:$K$249, "Responsive", 'TEST CASES'!$N$2:$N$249, "Blocked")</f>
        <v/>
      </c>
      <c r="G22" s="13">
        <f>IF((B22-C22)&gt;0, D22/(B22-C22), 0)</f>
        <v/>
      </c>
    </row>
    <row r="23" ht="20" customHeight="1">
      <c r="A23" s="14" t="inlineStr">
        <is>
          <t>Integration</t>
        </is>
      </c>
      <c r="B23" s="15">
        <f>COUNTIFS('TEST CASES'!$K$2:$K$249, "Integration")</f>
        <v/>
      </c>
      <c r="C23" s="15">
        <f>COUNTIFS('TEST CASES'!$K$2:$K$249, "Integration", 'TEST CASES'!$N$2:$N$249, "Not Run")</f>
        <v/>
      </c>
      <c r="D23" s="15">
        <f>COUNTIFS('TEST CASES'!$K$2:$K$249, "Integration", 'TEST CASES'!$N$2:$N$249, "Pass")</f>
        <v/>
      </c>
      <c r="E23" s="15">
        <f>COUNTIFS('TEST CASES'!$K$2:$K$249, "Integration", 'TEST CASES'!$N$2:$N$249, "Fail")</f>
        <v/>
      </c>
      <c r="F23" s="15">
        <f>COUNTIFS('TEST CASES'!$K$2:$K$249, "Integration", 'TEST CASES'!$N$2:$N$249, "Blocked")</f>
        <v/>
      </c>
      <c r="G23" s="13">
        <f>IF((B23-C23)&gt;0, D23/(B23-C23), 0)</f>
        <v/>
      </c>
    </row>
    <row r="24" ht="20" customHeight="1">
      <c r="A24" s="14" t="inlineStr">
        <is>
          <t>Security</t>
        </is>
      </c>
      <c r="B24" s="15">
        <f>COUNTIFS('TEST CASES'!$K$2:$K$249, "Security")</f>
        <v/>
      </c>
      <c r="C24" s="15">
        <f>COUNTIFS('TEST CASES'!$K$2:$K$249, "Security", 'TEST CASES'!$N$2:$N$249, "Not Run")</f>
        <v/>
      </c>
      <c r="D24" s="15">
        <f>COUNTIFS('TEST CASES'!$K$2:$K$249, "Security", 'TEST CASES'!$N$2:$N$249, "Pass")</f>
        <v/>
      </c>
      <c r="E24" s="15">
        <f>COUNTIFS('TEST CASES'!$K$2:$K$249, "Security", 'TEST CASES'!$N$2:$N$249, "Fail")</f>
        <v/>
      </c>
      <c r="F24" s="15">
        <f>COUNTIFS('TEST CASES'!$K$2:$K$249, "Security", 'TEST CASES'!$N$2:$N$249, "Blocked")</f>
        <v/>
      </c>
      <c r="G24" s="13">
        <f>IF((B24-C24)&gt;0, D24/(B24-C24), 0)</f>
        <v/>
      </c>
    </row>
    <row r="25" ht="20" customHeight="1">
      <c r="A25" s="14" t="inlineStr">
        <is>
          <t>End-to-End</t>
        </is>
      </c>
      <c r="B25" s="15">
        <f>COUNTIFS('TEST CASES'!$K$2:$K$249, "End-to-End")</f>
        <v/>
      </c>
      <c r="C25" s="15">
        <f>COUNTIFS('TEST CASES'!$K$2:$K$249, "End-to-End", 'TEST CASES'!$N$2:$N$249, "Not Run")</f>
        <v/>
      </c>
      <c r="D25" s="15">
        <f>COUNTIFS('TEST CASES'!$K$2:$K$249, "End-to-End", 'TEST CASES'!$N$2:$N$249, "Pass")</f>
        <v/>
      </c>
      <c r="E25" s="15">
        <f>COUNTIFS('TEST CASES'!$K$2:$K$249, "End-to-End", 'TEST CASES'!$N$2:$N$249, "Fail")</f>
        <v/>
      </c>
      <c r="F25" s="15">
        <f>COUNTIFS('TEST CASES'!$K$2:$K$249, "End-to-End", 'TEST CASES'!$N$2:$N$249, "Blocked")</f>
        <v/>
      </c>
      <c r="G25" s="13">
        <f>IF((B25-C25)&gt;0, D25/(B25-C25), 0)</f>
        <v/>
      </c>
    </row>
  </sheetData>
  <mergeCells count="5">
    <mergeCell ref="A1:G1"/>
    <mergeCell ref="E4:K4"/>
    <mergeCell ref="A16:G16"/>
    <mergeCell ref="A2:G2"/>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showGridLines="1" workbookViewId="0">
      <pane ySplit="3" topLeftCell="A4" activePane="bottomLeft" state="frozen"/>
      <selection pane="bottomLeft" activeCell="A1" sqref="A1"/>
    </sheetView>
  </sheetViews>
  <sheetFormatPr baseColWidth="8" defaultRowHeight="15"/>
  <cols>
    <col width="28" customWidth="1" min="1" max="1"/>
    <col width="36" customWidth="1" min="2" max="2"/>
    <col width="38" customWidth="1" min="3" max="3"/>
    <col width="12" customWidth="1" min="4" max="4"/>
    <col width="12" customWidth="1" min="5" max="5"/>
    <col width="10" customWidth="1" min="6" max="6"/>
    <col width="10" customWidth="1" min="7" max="7"/>
    <col width="10" customWidth="1" min="8" max="8"/>
    <col width="12" customWidth="1" min="9" max="9"/>
    <col width="38" customWidth="1" min="10" max="10"/>
  </cols>
  <sheetData>
    <row r="1" ht="36" customHeight="1">
      <c r="A1" s="8" t="inlineStr">
        <is>
          <t>WORKVENCE MODULE TEST COVERAGE &amp; PROGRESS TRACKER</t>
        </is>
      </c>
    </row>
    <row r="3" ht="26" customHeight="1">
      <c r="A3" s="1" t="inlineStr">
        <is>
          <t>Module Name</t>
        </is>
      </c>
      <c r="B3" s="1" t="inlineStr">
        <is>
          <t>Discovered Routes</t>
        </is>
      </c>
      <c r="C3" s="1" t="inlineStr">
        <is>
          <t>Key Features Covered</t>
        </is>
      </c>
      <c r="D3" s="1" t="inlineStr">
        <is>
          <t>Total Tests</t>
        </is>
      </c>
      <c r="E3" s="1" t="inlineStr">
        <is>
          <t>Executed</t>
        </is>
      </c>
      <c r="F3" s="1" t="inlineStr">
        <is>
          <t>Passed</t>
        </is>
      </c>
      <c r="G3" s="1" t="inlineStr">
        <is>
          <t>Failed</t>
        </is>
      </c>
      <c r="H3" s="1" t="inlineStr">
        <is>
          <t>Blocked</t>
        </is>
      </c>
      <c r="I3" s="1" t="inlineStr">
        <is>
          <t>Pass Rate</t>
        </is>
      </c>
      <c r="J3" s="1" t="inlineStr">
        <is>
          <t>Coverage Scope / Notes</t>
        </is>
      </c>
    </row>
    <row r="4" ht="45" customHeight="1">
      <c r="A4" s="19" t="inlineStr">
        <is>
          <t>Authentication &amp; Authorization</t>
        </is>
      </c>
      <c r="B4" s="20" t="inlineStr">
        <is>
          <t>/login, /register, /forgot-password, /reset-password, /verify-email</t>
        </is>
      </c>
      <c r="C4" s="3" t="inlineStr">
        <is>
          <t>Email/password auth, role-based registration (?seller=true), password reset flow, tokenRefresh queue, JWT cookie sync, guest route guards</t>
        </is>
      </c>
      <c r="D4" s="21">
        <f>COUNTIF('TEST CASES'!$B$2:$B$249, "Authentication &amp; Authorization")</f>
        <v/>
      </c>
      <c r="E4" s="22">
        <f>(D4-COUNTIFS('TEST CASES'!$B$2:$B$249, "Authentication &amp; Authorization", 'TEST CASES'!$N$2:$N$249, "Not Run"))</f>
        <v/>
      </c>
      <c r="F4" s="22">
        <f>COUNTIFS('TEST CASES'!$B$2:$B$249, "Authentication &amp; Authorization", 'TEST CASES'!$N$2:$N$249, "Pass")</f>
        <v/>
      </c>
      <c r="G4" s="22">
        <f>COUNTIFS('TEST CASES'!$B$2:$B$249, "Authentication &amp; Authorization", 'TEST CASES'!$N$2:$N$249, "Fail")</f>
        <v/>
      </c>
      <c r="H4" s="22">
        <f>COUNTIFS('TEST CASES'!$B$2:$B$249, "Authentication &amp; Authorization", 'TEST CASES'!$N$2:$N$249, "Blocked")</f>
        <v/>
      </c>
      <c r="I4" s="23">
        <f>IF(E4&gt;0, F4/E4, 0)</f>
        <v/>
      </c>
      <c r="J4" s="3" t="inlineStr">
        <is>
          <t>Critical P1 foundation. Governed by src/proxy.ts and src/store/userStore.ts.</t>
        </is>
      </c>
    </row>
    <row r="5" ht="45" customHeight="1">
      <c r="A5" s="24" t="inlineStr">
        <is>
          <t>Buyer Experience &amp; Catalog Discovery</t>
        </is>
      </c>
      <c r="B5" s="25" t="inlineStr">
        <is>
          <t>/packages, /search, /favorites, /orders, /orders/manage, /dashboard/buyer</t>
        </is>
      </c>
      <c r="C5" s="6" t="inlineStr">
        <is>
          <t>Catalog keyword search, CategoryBar slider, hierarchical subcategories, price/delivery/rating filters, sort orders, favorites wishlist, buyer orders overview</t>
        </is>
      </c>
      <c r="D5" s="12">
        <f>COUNTIF('TEST CASES'!$B$2:$B$249, "Buyer Experience &amp; Catalog Discovery")</f>
        <v/>
      </c>
      <c r="E5" s="15">
        <f>(D5-COUNTIFS('TEST CASES'!$B$2:$B$249, "Buyer Experience &amp; Catalog Discovery", 'TEST CASES'!$N$2:$N$249, "Not Run"))</f>
        <v/>
      </c>
      <c r="F5" s="15">
        <f>COUNTIFS('TEST CASES'!$B$2:$B$249, "Buyer Experience &amp; Catalog Discovery", 'TEST CASES'!$N$2:$N$249, "Pass")</f>
        <v/>
      </c>
      <c r="G5" s="15">
        <f>COUNTIFS('TEST CASES'!$B$2:$B$249, "Buyer Experience &amp; Catalog Discovery", 'TEST CASES'!$N$2:$N$249, "Fail")</f>
        <v/>
      </c>
      <c r="H5" s="15">
        <f>COUNTIFS('TEST CASES'!$B$2:$B$249, "Buyer Experience &amp; Catalog Discovery", 'TEST CASES'!$N$2:$N$249, "Blocked")</f>
        <v/>
      </c>
      <c r="I5" s="13">
        <f>IF(E5&gt;0, F5/E5, 0)</f>
        <v/>
      </c>
      <c r="J5" s="6" t="inlineStr">
        <is>
          <t>Core revenue driver. Validates cache invalidation and query filtering.</t>
        </is>
      </c>
    </row>
    <row r="6" ht="45" customHeight="1">
      <c r="A6" s="19" t="inlineStr">
        <is>
          <t>Seller Hub &amp; Onboarding</t>
        </is>
      </c>
      <c r="B6" s="20" t="inlineStr">
        <is>
          <t>/become-a-seller, /seller/dashboard, /dashboard/seller, /earnings, /manage-orders, /my-packages, /kyc, /settings/verification, /seller/suspended</t>
        </is>
      </c>
      <c r="C6" s="3" t="inlineStr">
        <is>
          <t>Seller dashboard KPIs, package inventory table, Stripe Connect onboarding, payout requests, multi-step KYC verification, account suspension restriction</t>
        </is>
      </c>
      <c r="D6" s="21">
        <f>COUNTIF('TEST CASES'!$B$2:$B$249, "Seller Hub &amp; Onboarding")</f>
        <v/>
      </c>
      <c r="E6" s="22">
        <f>(D6-COUNTIFS('TEST CASES'!$B$2:$B$249, "Seller Hub &amp; Onboarding", 'TEST CASES'!$N$2:$N$249, "Not Run"))</f>
        <v/>
      </c>
      <c r="F6" s="22">
        <f>COUNTIFS('TEST CASES'!$B$2:$B$249, "Seller Hub &amp; Onboarding", 'TEST CASES'!$N$2:$N$249, "Pass")</f>
        <v/>
      </c>
      <c r="G6" s="22">
        <f>COUNTIFS('TEST CASES'!$B$2:$B$249, "Seller Hub &amp; Onboarding", 'TEST CASES'!$N$2:$N$249, "Fail")</f>
        <v/>
      </c>
      <c r="H6" s="22">
        <f>COUNTIFS('TEST CASES'!$B$2:$B$249, "Seller Hub &amp; Onboarding", 'TEST CASES'!$N$2:$N$249, "Blocked")</f>
        <v/>
      </c>
      <c r="I6" s="23">
        <f>IF(E6&gt;0, F6/E6, 0)</f>
        <v/>
      </c>
      <c r="J6" s="3" t="inlineStr">
        <is>
          <t>Protected seller routes. Enforces isSeller check; blocks non-sellers with redirect.</t>
        </is>
      </c>
    </row>
    <row r="7" ht="45" customHeight="1">
      <c r="A7" s="24" t="inlineStr">
        <is>
          <t>Package &amp; Service Studio</t>
        </is>
      </c>
      <c r="B7" s="25" t="inlineStr">
        <is>
          <t>/organize, /organize/[id], /package/[id]</t>
        </is>
      </c>
      <c r="C7" s="6" t="inlineStr">
        <is>
          <t>Multi-tier gig studio, 3-tier pricing comparison (Basic/Standard/Premium), Quill rich-text editor, media gallery uploader, update propagation to public package view</t>
        </is>
      </c>
      <c r="D7" s="12">
        <f>COUNTIF('TEST CASES'!$B$2:$B$249, "Package &amp; Service Studio")</f>
        <v/>
      </c>
      <c r="E7" s="15">
        <f>(D7-COUNTIFS('TEST CASES'!$B$2:$B$249, "Package &amp; Service Studio", 'TEST CASES'!$N$2:$N$249, "Not Run"))</f>
        <v/>
      </c>
      <c r="F7" s="15">
        <f>COUNTIFS('TEST CASES'!$B$2:$B$249, "Package &amp; Service Studio", 'TEST CASES'!$N$2:$N$249, "Pass")</f>
        <v/>
      </c>
      <c r="G7" s="15">
        <f>COUNTIFS('TEST CASES'!$B$2:$B$249, "Package &amp; Service Studio", 'TEST CASES'!$N$2:$N$249, "Fail")</f>
        <v/>
      </c>
      <c r="H7" s="15">
        <f>COUNTIFS('TEST CASES'!$B$2:$B$249, "Package &amp; Service Studio", 'TEST CASES'!$N$2:$N$249, "Blocked")</f>
        <v/>
      </c>
      <c r="I7" s="13">
        <f>IF(E7&gt;0, F7/E7, 0)</f>
        <v/>
      </c>
      <c r="J7" s="6" t="inlineStr">
        <is>
          <t>Uses packageReducer.ts. Adheres to strict NestJS whitelist DTO rules.</t>
        </is>
      </c>
    </row>
    <row r="8" ht="45" customHeight="1">
      <c r="A8" s="19" t="inlineStr">
        <is>
          <t>Briefs &amp; Proposals Workflow</t>
        </is>
      </c>
      <c r="B8" s="20" t="inlineStr">
        <is>
          <t>/briefs, /briefs/create, /briefs/[id], /briefs/[id]/proposals, /briefs/my-briefs, /briefs/my-proposals</t>
        </is>
      </c>
      <c r="C8" s="3" t="inlineStr">
        <is>
          <t>Post brief form, 'Create with AI' prompt assistant, public brief catalog, seller proposal modal, buyer proposal audit, AI proposal match scoring, hire action</t>
        </is>
      </c>
      <c r="D8" s="21">
        <f>COUNTIF('TEST CASES'!$B$2:$B$249, "Briefs &amp; Proposals Workflow")</f>
        <v/>
      </c>
      <c r="E8" s="22">
        <f>(D8-COUNTIFS('TEST CASES'!$B$2:$B$249, "Briefs &amp; Proposals Workflow", 'TEST CASES'!$N$2:$N$249, "Not Run"))</f>
        <v/>
      </c>
      <c r="F8" s="22">
        <f>COUNTIFS('TEST CASES'!$B$2:$B$249, "Briefs &amp; Proposals Workflow", 'TEST CASES'!$N$2:$N$249, "Pass")</f>
        <v/>
      </c>
      <c r="G8" s="22">
        <f>COUNTIFS('TEST CASES'!$B$2:$B$249, "Briefs &amp; Proposals Workflow", 'TEST CASES'!$N$2:$N$249, "Fail")</f>
        <v/>
      </c>
      <c r="H8" s="22">
        <f>COUNTIFS('TEST CASES'!$B$2:$B$249, "Briefs &amp; Proposals Workflow", 'TEST CASES'!$N$2:$N$249, "Blocked")</f>
        <v/>
      </c>
      <c r="I8" s="23">
        <f>IF(E8&gt;0, F8/E8, 0)</f>
        <v/>
      </c>
      <c r="J8" s="3" t="inlineStr">
        <is>
          <t>Custom work pipeline. Covers buyer and seller roles end-to-end.</t>
        </is>
      </c>
    </row>
    <row r="9" ht="45" customHeight="1">
      <c r="A9" s="24" t="inlineStr">
        <is>
          <t>Checkout &amp; Payment Gateway</t>
        </is>
      </c>
      <c r="B9" s="25" t="inlineStr">
        <is>
          <t>/pay/[id], /success</t>
        </is>
      </c>
      <c r="C9" s="6" t="inlineStr">
        <is>
          <t>Order summary calculation (tier price + fee + tax), Stripe Elements card input, 3D Secure / OTP handling, promo codes, transaction confirmation screen</t>
        </is>
      </c>
      <c r="D9" s="12">
        <f>COUNTIF('TEST CASES'!$B$2:$B$249, "Checkout &amp; Payment Gateway")</f>
        <v/>
      </c>
      <c r="E9" s="15">
        <f>(D9-COUNTIFS('TEST CASES'!$B$2:$B$249, "Checkout &amp; Payment Gateway", 'TEST CASES'!$N$2:$N$249, "Not Run"))</f>
        <v/>
      </c>
      <c r="F9" s="15">
        <f>COUNTIFS('TEST CASES'!$B$2:$B$249, "Checkout &amp; Payment Gateway", 'TEST CASES'!$N$2:$N$249, "Pass")</f>
        <v/>
      </c>
      <c r="G9" s="15">
        <f>COUNTIFS('TEST CASES'!$B$2:$B$249, "Checkout &amp; Payment Gateway", 'TEST CASES'!$N$2:$N$249, "Fail")</f>
        <v/>
      </c>
      <c r="H9" s="15">
        <f>COUNTIFS('TEST CASES'!$B$2:$B$249, "Checkout &amp; Payment Gateway", 'TEST CASES'!$N$2:$N$249, "Blocked")</f>
        <v/>
      </c>
      <c r="I9" s="13">
        <f>IF(E9&gt;0, F9/E9, 0)</f>
        <v/>
      </c>
      <c r="J9" s="6" t="inlineStr">
        <is>
          <t>Financial transaction pipeline. Handles payment intents and webhooks.</t>
        </is>
      </c>
    </row>
    <row r="10" ht="45" customHeight="1">
      <c r="A10" s="19" t="inlineStr">
        <is>
          <t>Orders &amp; Escrow Lifecycle</t>
        </is>
      </c>
      <c r="B10" s="20" t="inlineStr">
        <is>
          <t>/orders/[id], /orders/contact/[id]</t>
        </is>
      </c>
      <c r="C10" s="3" t="inlineStr">
        <is>
          <t>Order workspace state machine (In Progress, Delivered, Revision, Completed), countdown delivery timer, deliver work modal + ZIP upload, revision modal, deadline extension, completion &amp; escrow release, 5-star review submission</t>
        </is>
      </c>
      <c r="D10" s="21">
        <f>COUNTIF('TEST CASES'!$B$2:$B$249, "Orders &amp; Escrow Lifecycle")</f>
        <v/>
      </c>
      <c r="E10" s="22">
        <f>(D10-COUNTIFS('TEST CASES'!$B$2:$B$249, "Orders &amp; Escrow Lifecycle", 'TEST CASES'!$N$2:$N$249, "Not Run"))</f>
        <v/>
      </c>
      <c r="F10" s="22">
        <f>COUNTIFS('TEST CASES'!$B$2:$B$249, "Orders &amp; Escrow Lifecycle", 'TEST CASES'!$N$2:$N$249, "Pass")</f>
        <v/>
      </c>
      <c r="G10" s="22">
        <f>COUNTIFS('TEST CASES'!$B$2:$B$249, "Orders &amp; Escrow Lifecycle", 'TEST CASES'!$N$2:$N$249, "Fail")</f>
        <v/>
      </c>
      <c r="H10" s="22">
        <f>COUNTIFS('TEST CASES'!$B$2:$B$249, "Orders &amp; Escrow Lifecycle", 'TEST CASES'!$N$2:$N$249, "Blocked")</f>
        <v/>
      </c>
      <c r="I10" s="23">
        <f>IF(E10&gt;0, F10/E10, 0)</f>
        <v/>
      </c>
      <c r="J10" s="3" t="inlineStr">
        <is>
          <t>Core contract fulfillment workflow. Enforces dual-user permissions.</t>
        </is>
      </c>
    </row>
    <row r="11" ht="45" customHeight="1">
      <c r="A11" s="24" t="inlineStr">
        <is>
          <t>Real-Time Messaging &amp; Chat</t>
        </is>
      </c>
      <c r="B11" s="25" t="inlineStr">
        <is>
          <t>/messages, /message, /message/[id]</t>
        </is>
      </c>
      <c r="C11" s="6" t="inlineStr">
        <is>
          <t>Conversation list, active thread stream via Socket.io, real-time bidirectional messaging without reload, typing indicator, file attachments, online status</t>
        </is>
      </c>
      <c r="D11" s="12">
        <f>COUNTIF('TEST CASES'!$B$2:$B$249, "Real-Time Messaging &amp; Chat")</f>
        <v/>
      </c>
      <c r="E11" s="15">
        <f>(D11-COUNTIFS('TEST CASES'!$B$2:$B$249, "Real-Time Messaging &amp; Chat", 'TEST CASES'!$N$2:$N$249, "Not Run"))</f>
        <v/>
      </c>
      <c r="F11" s="15">
        <f>COUNTIFS('TEST CASES'!$B$2:$B$249, "Real-Time Messaging &amp; Chat", 'TEST CASES'!$N$2:$N$249, "Pass")</f>
        <v/>
      </c>
      <c r="G11" s="15">
        <f>COUNTIFS('TEST CASES'!$B$2:$B$249, "Real-Time Messaging &amp; Chat", 'TEST CASES'!$N$2:$N$249, "Fail")</f>
        <v/>
      </c>
      <c r="H11" s="15">
        <f>COUNTIFS('TEST CASES'!$B$2:$B$249, "Real-Time Messaging &amp; Chat", 'TEST CASES'!$N$2:$N$249, "Blocked")</f>
        <v/>
      </c>
      <c r="I11" s="13">
        <f>IF(E11&gt;0, F11/E11, 0)</f>
        <v/>
      </c>
      <c r="J11" s="6" t="inlineStr">
        <is>
          <t>Real-time communication. Relies on socket.ts and ChatView component.</t>
        </is>
      </c>
    </row>
    <row r="12" ht="45" customHeight="1">
      <c r="A12" s="19" t="inlineStr">
        <is>
          <t>Support, Disputes &amp; Help Center</t>
        </is>
      </c>
      <c r="B12" s="20" t="inlineStr">
        <is>
          <t>/support, /support/new, /support/[id], /help-center, /how-escrow-works, /trust-safety</t>
        </is>
      </c>
      <c r="C12" s="3" t="inlineStr">
        <is>
          <t>Support ticket submission with category and priority, ticket conversation thread with live support socket, dispute mediation, searchable knowledge base</t>
        </is>
      </c>
      <c r="D12" s="21">
        <f>COUNTIF('TEST CASES'!$B$2:$B$249, "Support, Disputes &amp; Help Center")</f>
        <v/>
      </c>
      <c r="E12" s="22">
        <f>(D12-COUNTIFS('TEST CASES'!$B$2:$B$249, "Support, Disputes &amp; Help Center", 'TEST CASES'!$N$2:$N$249, "Not Run"))</f>
        <v/>
      </c>
      <c r="F12" s="22">
        <f>COUNTIFS('TEST CASES'!$B$2:$B$249, "Support, Disputes &amp; Help Center", 'TEST CASES'!$N$2:$N$249, "Pass")</f>
        <v/>
      </c>
      <c r="G12" s="22">
        <f>COUNTIFS('TEST CASES'!$B$2:$B$249, "Support, Disputes &amp; Help Center", 'TEST CASES'!$N$2:$N$249, "Fail")</f>
        <v/>
      </c>
      <c r="H12" s="22">
        <f>COUNTIFS('TEST CASES'!$B$2:$B$249, "Support, Disputes &amp; Help Center", 'TEST CASES'!$N$2:$N$249, "Blocked")</f>
        <v/>
      </c>
      <c r="I12" s="23">
        <f>IF(E12&gt;0, F12/E12, 0)</f>
        <v/>
      </c>
      <c r="J12" s="3" t="inlineStr">
        <is>
          <t>Dispute resolution and client care pipeline. Integrates with support service.</t>
        </is>
      </c>
    </row>
    <row r="13" ht="45" customHeight="1">
      <c r="A13" s="24" t="inlineStr">
        <is>
          <t>Admin Portal &amp; KPI Analytics</t>
        </is>
      </c>
      <c r="B13" s="25" t="inlineStr">
        <is>
          <t>/admin/dashboard</t>
        </is>
      </c>
      <c r="C13" s="6" t="inlineStr">
        <is>
          <t>Platform KPI cards (Total GMV, Users, Active Gigs, Open Disputes), revenue trend chart (Recharts), order breakdown pie chart, pending moderation queue</t>
        </is>
      </c>
      <c r="D13" s="12">
        <f>COUNTIF('TEST CASES'!$B$2:$B$249, "Admin Portal &amp; KPI Analytics")</f>
        <v/>
      </c>
      <c r="E13" s="15">
        <f>(D13-COUNTIFS('TEST CASES'!$B$2:$B$249, "Admin Portal &amp; KPI Analytics", 'TEST CASES'!$N$2:$N$249, "Not Run"))</f>
        <v/>
      </c>
      <c r="F13" s="15">
        <f>COUNTIFS('TEST CASES'!$B$2:$B$249, "Admin Portal &amp; KPI Analytics", 'TEST CASES'!$N$2:$N$249, "Pass")</f>
        <v/>
      </c>
      <c r="G13" s="15">
        <f>COUNTIFS('TEST CASES'!$B$2:$B$249, "Admin Portal &amp; KPI Analytics", 'TEST CASES'!$N$2:$N$249, "Fail")</f>
        <v/>
      </c>
      <c r="H13" s="15">
        <f>COUNTIFS('TEST CASES'!$B$2:$B$249, "Admin Portal &amp; KPI Analytics", 'TEST CASES'!$N$2:$N$249, "Blocked")</f>
        <v/>
      </c>
      <c r="I13" s="13">
        <f>IF(E13&gt;0, F13/E13, 0)</f>
        <v/>
      </c>
      <c r="J13" s="6" t="inlineStr">
        <is>
          <t>Restricted admin portal. Requires isAdmin check in proxy.ts.</t>
        </is>
      </c>
    </row>
    <row r="14" ht="45" customHeight="1">
      <c r="A14" s="19" t="inlineStr">
        <is>
          <t>User Profiles &amp; Account Settings</t>
        </is>
      </c>
      <c r="B14" s="20" t="inlineStr">
        <is>
          <t>/profile, /settings/verification, /seller/[username]</t>
        </is>
      </c>
      <c r="C14" s="3" t="inlineStr">
        <is>
          <t>Public seller profile, skills tags, portfolio gallery, reviews list, edit profile (avatar, bio, country flag, languages spoken), verification badges</t>
        </is>
      </c>
      <c r="D14" s="21">
        <f>COUNTIF('TEST CASES'!$B$2:$B$249, "User Profiles &amp; Account Settings")</f>
        <v/>
      </c>
      <c r="E14" s="22">
        <f>(D14-COUNTIFS('TEST CASES'!$B$2:$B$249, "User Profiles &amp; Account Settings", 'TEST CASES'!$N$2:$N$249, "Not Run"))</f>
        <v/>
      </c>
      <c r="F14" s="22">
        <f>COUNTIFS('TEST CASES'!$B$2:$B$249, "User Profiles &amp; Account Settings", 'TEST CASES'!$N$2:$N$249, "Pass")</f>
        <v/>
      </c>
      <c r="G14" s="22">
        <f>COUNTIFS('TEST CASES'!$B$2:$B$249, "User Profiles &amp; Account Settings", 'TEST CASES'!$N$2:$N$249, "Fail")</f>
        <v/>
      </c>
      <c r="H14" s="22">
        <f>COUNTIFS('TEST CASES'!$B$2:$B$249, "User Profiles &amp; Account Settings", 'TEST CASES'!$N$2:$N$249, "Blocked")</f>
        <v/>
      </c>
      <c r="I14" s="23">
        <f>IF(E14&gt;0, F14/E14, 0)</f>
        <v/>
      </c>
      <c r="J14" s="3" t="inlineStr">
        <is>
          <t>User identity and reputation management.</t>
        </is>
      </c>
    </row>
    <row r="15" ht="45" customHeight="1">
      <c r="A15" s="24" t="inlineStr">
        <is>
          <t>Notifications System</t>
        </is>
      </c>
      <c r="B15" s="25" t="inlineStr">
        <is>
          <t>/notifications</t>
        </is>
      </c>
      <c r="C15" s="6" t="inlineStr">
        <is>
          <t>Header notification bell, real-time unread badge counter, dedicated /notifications page, filter pills (All, Unread, Orders, Messages), mark all as read action</t>
        </is>
      </c>
      <c r="D15" s="12">
        <f>COUNTIF('TEST CASES'!$B$2:$B$249, "Notifications System")</f>
        <v/>
      </c>
      <c r="E15" s="15">
        <f>(D15-COUNTIFS('TEST CASES'!$B$2:$B$249, "Notifications System", 'TEST CASES'!$N$2:$N$249, "Not Run"))</f>
        <v/>
      </c>
      <c r="F15" s="15">
        <f>COUNTIFS('TEST CASES'!$B$2:$B$249, "Notifications System", 'TEST CASES'!$N$2:$N$249, "Pass")</f>
        <v/>
      </c>
      <c r="G15" s="15">
        <f>COUNTIFS('TEST CASES'!$B$2:$B$249, "Notifications System", 'TEST CASES'!$N$2:$N$249, "Fail")</f>
        <v/>
      </c>
      <c r="H15" s="15">
        <f>COUNTIFS('TEST CASES'!$B$2:$B$249, "Notifications System", 'TEST CASES'!$N$2:$N$249, "Blocked")</f>
        <v/>
      </c>
      <c r="I15" s="13">
        <f>IF(E15&gt;0, F15/E15, 0)</f>
        <v/>
      </c>
      <c r="J15" s="6" t="inlineStr">
        <is>
          <t>Real-time alert delivery across buyer, seller, and order activities.</t>
        </is>
      </c>
    </row>
  </sheetData>
  <autoFilter ref="A3:J15"/>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9"/>
  <sheetViews>
    <sheetView showGridLines="1" workbookViewId="0">
      <pane ySplit="3" topLeftCell="A4"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14" customWidth="1" min="5" max="5"/>
    <col width="22" customWidth="1" min="6" max="6"/>
    <col width="20" customWidth="1" min="7" max="7"/>
    <col width="18" customWidth="1" min="8" max="8"/>
    <col width="14" customWidth="1" min="9" max="9"/>
    <col width="12" customWidth="1" min="10" max="10"/>
    <col width="36" customWidth="1" min="11" max="11"/>
    <col width="32" customWidth="1" min="12" max="12"/>
    <col width="32" customWidth="1" min="13" max="13"/>
    <col width="26" customWidth="1" min="14" max="14"/>
    <col width="16" customWidth="1" min="15" max="15"/>
    <col width="16" customWidth="1" min="16" max="16"/>
    <col width="14" customWidth="1" min="17" max="17"/>
    <col width="14" customWidth="1" min="18" max="18"/>
    <col width="28" customWidth="1" min="19" max="19"/>
  </cols>
  <sheetData>
    <row r="1" ht="36" customHeight="1">
      <c r="A1" s="8" t="inlineStr">
        <is>
          <t>WORKVENCE QA DEFECT &amp; ISSUE TRACKER</t>
        </is>
      </c>
    </row>
    <row r="3" ht="26" customHeight="1">
      <c r="A3" s="1" t="inlineStr">
        <is>
          <t>Defect ID</t>
        </is>
      </c>
      <c r="B3" s="1" t="inlineStr">
        <is>
          <t>Related Test Case ID</t>
        </is>
      </c>
      <c r="C3" s="1" t="inlineStr">
        <is>
          <t>Module</t>
        </is>
      </c>
      <c r="D3" s="1" t="inlineStr">
        <is>
          <t>Defect Title</t>
        </is>
      </c>
      <c r="E3" s="1" t="inlineStr">
        <is>
          <t>Environment</t>
        </is>
      </c>
      <c r="F3" s="1" t="inlineStr">
        <is>
          <t>URL / Route</t>
        </is>
      </c>
      <c r="G3" s="1" t="inlineStr">
        <is>
          <t>Browser &amp; OS</t>
        </is>
      </c>
      <c r="H3" s="1" t="inlineStr">
        <is>
          <t>Device / Viewport</t>
        </is>
      </c>
      <c r="I3" s="1" t="inlineStr">
        <is>
          <t>Severity</t>
        </is>
      </c>
      <c r="J3" s="1" t="inlineStr">
        <is>
          <t>Priority</t>
        </is>
      </c>
      <c r="K3" s="1" t="inlineStr">
        <is>
          <t>Steps to Reproduce</t>
        </is>
      </c>
      <c r="L3" s="1" t="inlineStr">
        <is>
          <t>Expected Result</t>
        </is>
      </c>
      <c r="M3" s="1" t="inlineStr">
        <is>
          <t>Actual Result</t>
        </is>
      </c>
      <c r="N3" s="1" t="inlineStr">
        <is>
          <t>Screenshot / Evidence URL</t>
        </is>
      </c>
      <c r="O3" s="1" t="inlineStr">
        <is>
          <t>Status</t>
        </is>
      </c>
      <c r="P3" s="1" t="inlineStr">
        <is>
          <t>Assigned To</t>
        </is>
      </c>
      <c r="Q3" s="1" t="inlineStr">
        <is>
          <t>Date Reported</t>
        </is>
      </c>
      <c r="R3" s="1" t="inlineStr">
        <is>
          <t>Retest Result</t>
        </is>
      </c>
      <c r="S3" s="1" t="inlineStr">
        <is>
          <t>Resolution Notes</t>
        </is>
      </c>
    </row>
    <row r="4" ht="35" customHeight="1">
      <c r="A4" s="4" t="n"/>
      <c r="B4" s="3" t="n"/>
      <c r="C4" s="3" t="n"/>
      <c r="D4" s="3" t="n"/>
      <c r="E4" s="3" t="n"/>
      <c r="F4" s="3" t="n"/>
      <c r="G4" s="3" t="n"/>
      <c r="H4" s="3" t="n"/>
      <c r="I4" s="4" t="n"/>
      <c r="J4" s="4" t="n"/>
      <c r="K4" s="3" t="n"/>
      <c r="L4" s="3" t="n"/>
      <c r="M4" s="3" t="n"/>
      <c r="N4" s="3" t="n"/>
      <c r="O4" s="4" t="n"/>
      <c r="P4" s="3" t="n"/>
      <c r="Q4" s="4" t="n"/>
      <c r="R4" s="4" t="n"/>
      <c r="S4" s="3" t="n"/>
    </row>
    <row r="5" ht="35" customHeight="1">
      <c r="A5" s="7" t="n"/>
      <c r="B5" s="6" t="n"/>
      <c r="C5" s="6" t="n"/>
      <c r="D5" s="6" t="n"/>
      <c r="E5" s="6" t="n"/>
      <c r="F5" s="6" t="n"/>
      <c r="G5" s="6" t="n"/>
      <c r="H5" s="6" t="n"/>
      <c r="I5" s="7" t="n"/>
      <c r="J5" s="7" t="n"/>
      <c r="K5" s="6" t="n"/>
      <c r="L5" s="6" t="n"/>
      <c r="M5" s="6" t="n"/>
      <c r="N5" s="6" t="n"/>
      <c r="O5" s="7" t="n"/>
      <c r="P5" s="6" t="n"/>
      <c r="Q5" s="7" t="n"/>
      <c r="R5" s="7" t="n"/>
      <c r="S5" s="6" t="n"/>
    </row>
    <row r="6" ht="35" customHeight="1">
      <c r="A6" s="4" t="n"/>
      <c r="B6" s="3" t="n"/>
      <c r="C6" s="3" t="n"/>
      <c r="D6" s="3" t="n"/>
      <c r="E6" s="3" t="n"/>
      <c r="F6" s="3" t="n"/>
      <c r="G6" s="3" t="n"/>
      <c r="H6" s="3" t="n"/>
      <c r="I6" s="4" t="n"/>
      <c r="J6" s="4" t="n"/>
      <c r="K6" s="3" t="n"/>
      <c r="L6" s="3" t="n"/>
      <c r="M6" s="3" t="n"/>
      <c r="N6" s="3" t="n"/>
      <c r="O6" s="4" t="n"/>
      <c r="P6" s="3" t="n"/>
      <c r="Q6" s="4" t="n"/>
      <c r="R6" s="4" t="n"/>
      <c r="S6" s="3" t="n"/>
    </row>
    <row r="7" ht="35" customHeight="1">
      <c r="A7" s="7" t="n"/>
      <c r="B7" s="6" t="n"/>
      <c r="C7" s="6" t="n"/>
      <c r="D7" s="6" t="n"/>
      <c r="E7" s="6" t="n"/>
      <c r="F7" s="6" t="n"/>
      <c r="G7" s="6" t="n"/>
      <c r="H7" s="6" t="n"/>
      <c r="I7" s="7" t="n"/>
      <c r="J7" s="7" t="n"/>
      <c r="K7" s="6" t="n"/>
      <c r="L7" s="6" t="n"/>
      <c r="M7" s="6" t="n"/>
      <c r="N7" s="6" t="n"/>
      <c r="O7" s="7" t="n"/>
      <c r="P7" s="6" t="n"/>
      <c r="Q7" s="7" t="n"/>
      <c r="R7" s="7" t="n"/>
      <c r="S7" s="6" t="n"/>
    </row>
    <row r="8" ht="35" customHeight="1">
      <c r="A8" s="4" t="n"/>
      <c r="B8" s="3" t="n"/>
      <c r="C8" s="3" t="n"/>
      <c r="D8" s="3" t="n"/>
      <c r="E8" s="3" t="n"/>
      <c r="F8" s="3" t="n"/>
      <c r="G8" s="3" t="n"/>
      <c r="H8" s="3" t="n"/>
      <c r="I8" s="4" t="n"/>
      <c r="J8" s="4" t="n"/>
      <c r="K8" s="3" t="n"/>
      <c r="L8" s="3" t="n"/>
      <c r="M8" s="3" t="n"/>
      <c r="N8" s="3" t="n"/>
      <c r="O8" s="4" t="n"/>
      <c r="P8" s="3" t="n"/>
      <c r="Q8" s="4" t="n"/>
      <c r="R8" s="4" t="n"/>
      <c r="S8" s="3" t="n"/>
    </row>
    <row r="9" ht="35" customHeight="1">
      <c r="A9" s="7" t="n"/>
      <c r="B9" s="6" t="n"/>
      <c r="C9" s="6" t="n"/>
      <c r="D9" s="6" t="n"/>
      <c r="E9" s="6" t="n"/>
      <c r="F9" s="6" t="n"/>
      <c r="G9" s="6" t="n"/>
      <c r="H9" s="6" t="n"/>
      <c r="I9" s="7" t="n"/>
      <c r="J9" s="7" t="n"/>
      <c r="K9" s="6" t="n"/>
      <c r="L9" s="6" t="n"/>
      <c r="M9" s="6" t="n"/>
      <c r="N9" s="6" t="n"/>
      <c r="O9" s="7" t="n"/>
      <c r="P9" s="6" t="n"/>
      <c r="Q9" s="7" t="n"/>
      <c r="R9" s="7" t="n"/>
      <c r="S9" s="6" t="n"/>
    </row>
    <row r="10" ht="35" customHeight="1">
      <c r="A10" s="4" t="n"/>
      <c r="B10" s="3" t="n"/>
      <c r="C10" s="3" t="n"/>
      <c r="D10" s="3" t="n"/>
      <c r="E10" s="3" t="n"/>
      <c r="F10" s="3" t="n"/>
      <c r="G10" s="3" t="n"/>
      <c r="H10" s="3" t="n"/>
      <c r="I10" s="4" t="n"/>
      <c r="J10" s="4" t="n"/>
      <c r="K10" s="3" t="n"/>
      <c r="L10" s="3" t="n"/>
      <c r="M10" s="3" t="n"/>
      <c r="N10" s="3" t="n"/>
      <c r="O10" s="4" t="n"/>
      <c r="P10" s="3" t="n"/>
      <c r="Q10" s="4" t="n"/>
      <c r="R10" s="4" t="n"/>
      <c r="S10" s="3" t="n"/>
    </row>
    <row r="11" ht="35" customHeight="1">
      <c r="A11" s="7" t="n"/>
      <c r="B11" s="6" t="n"/>
      <c r="C11" s="6" t="n"/>
      <c r="D11" s="6" t="n"/>
      <c r="E11" s="6" t="n"/>
      <c r="F11" s="6" t="n"/>
      <c r="G11" s="6" t="n"/>
      <c r="H11" s="6" t="n"/>
      <c r="I11" s="7" t="n"/>
      <c r="J11" s="7" t="n"/>
      <c r="K11" s="6" t="n"/>
      <c r="L11" s="6" t="n"/>
      <c r="M11" s="6" t="n"/>
      <c r="N11" s="6" t="n"/>
      <c r="O11" s="7" t="n"/>
      <c r="P11" s="6" t="n"/>
      <c r="Q11" s="7" t="n"/>
      <c r="R11" s="7" t="n"/>
      <c r="S11" s="6" t="n"/>
    </row>
    <row r="12" ht="35" customHeight="1">
      <c r="A12" s="4" t="n"/>
      <c r="B12" s="3" t="n"/>
      <c r="C12" s="3" t="n"/>
      <c r="D12" s="3" t="n"/>
      <c r="E12" s="3" t="n"/>
      <c r="F12" s="3" t="n"/>
      <c r="G12" s="3" t="n"/>
      <c r="H12" s="3" t="n"/>
      <c r="I12" s="4" t="n"/>
      <c r="J12" s="4" t="n"/>
      <c r="K12" s="3" t="n"/>
      <c r="L12" s="3" t="n"/>
      <c r="M12" s="3" t="n"/>
      <c r="N12" s="3" t="n"/>
      <c r="O12" s="4" t="n"/>
      <c r="P12" s="3" t="n"/>
      <c r="Q12" s="4" t="n"/>
      <c r="R12" s="4" t="n"/>
      <c r="S12" s="3" t="n"/>
    </row>
    <row r="13" ht="35" customHeight="1">
      <c r="A13" s="7" t="n"/>
      <c r="B13" s="6" t="n"/>
      <c r="C13" s="6" t="n"/>
      <c r="D13" s="6" t="n"/>
      <c r="E13" s="6" t="n"/>
      <c r="F13" s="6" t="n"/>
      <c r="G13" s="6" t="n"/>
      <c r="H13" s="6" t="n"/>
      <c r="I13" s="7" t="n"/>
      <c r="J13" s="7" t="n"/>
      <c r="K13" s="6" t="n"/>
      <c r="L13" s="6" t="n"/>
      <c r="M13" s="6" t="n"/>
      <c r="N13" s="6" t="n"/>
      <c r="O13" s="7" t="n"/>
      <c r="P13" s="6" t="n"/>
      <c r="Q13" s="7" t="n"/>
      <c r="R13" s="7" t="n"/>
      <c r="S13" s="6" t="n"/>
    </row>
    <row r="14" ht="35" customHeight="1">
      <c r="A14" s="4" t="n"/>
      <c r="B14" s="3" t="n"/>
      <c r="C14" s="3" t="n"/>
      <c r="D14" s="3" t="n"/>
      <c r="E14" s="3" t="n"/>
      <c r="F14" s="3" t="n"/>
      <c r="G14" s="3" t="n"/>
      <c r="H14" s="3" t="n"/>
      <c r="I14" s="4" t="n"/>
      <c r="J14" s="4" t="n"/>
      <c r="K14" s="3" t="n"/>
      <c r="L14" s="3" t="n"/>
      <c r="M14" s="3" t="n"/>
      <c r="N14" s="3" t="n"/>
      <c r="O14" s="4" t="n"/>
      <c r="P14" s="3" t="n"/>
      <c r="Q14" s="4" t="n"/>
      <c r="R14" s="4" t="n"/>
      <c r="S14" s="3" t="n"/>
    </row>
    <row r="15" ht="35" customHeight="1">
      <c r="A15" s="7" t="n"/>
      <c r="B15" s="6" t="n"/>
      <c r="C15" s="6" t="n"/>
      <c r="D15" s="6" t="n"/>
      <c r="E15" s="6" t="n"/>
      <c r="F15" s="6" t="n"/>
      <c r="G15" s="6" t="n"/>
      <c r="H15" s="6" t="n"/>
      <c r="I15" s="7" t="n"/>
      <c r="J15" s="7" t="n"/>
      <c r="K15" s="6" t="n"/>
      <c r="L15" s="6" t="n"/>
      <c r="M15" s="6" t="n"/>
      <c r="N15" s="6" t="n"/>
      <c r="O15" s="7" t="n"/>
      <c r="P15" s="6" t="n"/>
      <c r="Q15" s="7" t="n"/>
      <c r="R15" s="7" t="n"/>
      <c r="S15" s="6" t="n"/>
    </row>
    <row r="16" ht="35" customHeight="1">
      <c r="A16" s="4" t="n"/>
      <c r="B16" s="3" t="n"/>
      <c r="C16" s="3" t="n"/>
      <c r="D16" s="3" t="n"/>
      <c r="E16" s="3" t="n"/>
      <c r="F16" s="3" t="n"/>
      <c r="G16" s="3" t="n"/>
      <c r="H16" s="3" t="n"/>
      <c r="I16" s="4" t="n"/>
      <c r="J16" s="4" t="n"/>
      <c r="K16" s="3" t="n"/>
      <c r="L16" s="3" t="n"/>
      <c r="M16" s="3" t="n"/>
      <c r="N16" s="3" t="n"/>
      <c r="O16" s="4" t="n"/>
      <c r="P16" s="3" t="n"/>
      <c r="Q16" s="4" t="n"/>
      <c r="R16" s="4" t="n"/>
      <c r="S16" s="3" t="n"/>
    </row>
    <row r="17" ht="35" customHeight="1">
      <c r="A17" s="7" t="n"/>
      <c r="B17" s="6" t="n"/>
      <c r="C17" s="6" t="n"/>
      <c r="D17" s="6" t="n"/>
      <c r="E17" s="6" t="n"/>
      <c r="F17" s="6" t="n"/>
      <c r="G17" s="6" t="n"/>
      <c r="H17" s="6" t="n"/>
      <c r="I17" s="7" t="n"/>
      <c r="J17" s="7" t="n"/>
      <c r="K17" s="6" t="n"/>
      <c r="L17" s="6" t="n"/>
      <c r="M17" s="6" t="n"/>
      <c r="N17" s="6" t="n"/>
      <c r="O17" s="7" t="n"/>
      <c r="P17" s="6" t="n"/>
      <c r="Q17" s="7" t="n"/>
      <c r="R17" s="7" t="n"/>
      <c r="S17" s="6" t="n"/>
    </row>
    <row r="18" ht="35" customHeight="1">
      <c r="A18" s="4" t="n"/>
      <c r="B18" s="3" t="n"/>
      <c r="C18" s="3" t="n"/>
      <c r="D18" s="3" t="n"/>
      <c r="E18" s="3" t="n"/>
      <c r="F18" s="3" t="n"/>
      <c r="G18" s="3" t="n"/>
      <c r="H18" s="3" t="n"/>
      <c r="I18" s="4" t="n"/>
      <c r="J18" s="4" t="n"/>
      <c r="K18" s="3" t="n"/>
      <c r="L18" s="3" t="n"/>
      <c r="M18" s="3" t="n"/>
      <c r="N18" s="3" t="n"/>
      <c r="O18" s="4" t="n"/>
      <c r="P18" s="3" t="n"/>
      <c r="Q18" s="4" t="n"/>
      <c r="R18" s="4" t="n"/>
      <c r="S18" s="3" t="n"/>
    </row>
    <row r="19" ht="35" customHeight="1">
      <c r="A19" s="7" t="n"/>
      <c r="B19" s="6" t="n"/>
      <c r="C19" s="6" t="n"/>
      <c r="D19" s="6" t="n"/>
      <c r="E19" s="6" t="n"/>
      <c r="F19" s="6" t="n"/>
      <c r="G19" s="6" t="n"/>
      <c r="H19" s="6" t="n"/>
      <c r="I19" s="7" t="n"/>
      <c r="J19" s="7" t="n"/>
      <c r="K19" s="6" t="n"/>
      <c r="L19" s="6" t="n"/>
      <c r="M19" s="6" t="n"/>
      <c r="N19" s="6" t="n"/>
      <c r="O19" s="7" t="n"/>
      <c r="P19" s="6" t="n"/>
      <c r="Q19" s="7" t="n"/>
      <c r="R19" s="7" t="n"/>
      <c r="S19" s="6" t="n"/>
    </row>
  </sheetData>
  <autoFilter ref="A3:S19"/>
  <mergeCells count="1">
    <mergeCell ref="A1:S1"/>
  </mergeCells>
  <dataValidations count="4">
    <dataValidation sqref="I4:I19" showDropDown="0" showInputMessage="0" showErrorMessage="0" allowBlank="1" type="list">
      <formula1>"Critical,Major,Moderate,Minor"</formula1>
    </dataValidation>
    <dataValidation sqref="J4:J19" showDropDown="0" showInputMessage="0" showErrorMessage="0" allowBlank="1" type="list">
      <formula1>"P1,P2,P3,P4"</formula1>
    </dataValidation>
    <dataValidation sqref="O4:O19" showDropDown="0" showInputMessage="0" showErrorMessage="0" allowBlank="1" type="list">
      <formula1>"New,Open,In Progress,Ready for Retest,Closed,Won't Fix"</formula1>
    </dataValidation>
    <dataValidation sqref="R4:R19" showDropDown="0" showInputMessage="0" showErrorMessage="0" allowBlank="1" type="list">
      <formula1>"Pass,Fail,Pending"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6"/>
  <sheetViews>
    <sheetView showGridLines="1" workbookViewId="0">
      <pane ySplit="3" topLeftCell="A4" activePane="bottomLeft" state="frozen"/>
      <selection pane="bottomLeft" activeCell="A1" sqref="A1"/>
    </sheetView>
  </sheetViews>
  <sheetFormatPr baseColWidth="8" defaultRowHeight="15"/>
  <cols>
    <col width="26" customWidth="1" min="1" max="1"/>
    <col width="28" customWidth="1" min="2" max="2"/>
    <col width="22" customWidth="1" min="3" max="3"/>
    <col width="16" customWidth="1" min="4" max="4"/>
    <col width="20" customWidth="1" min="5" max="5"/>
    <col width="45" customWidth="1" min="6" max="6"/>
    <col width="28" customWidth="1" min="7" max="7"/>
    <col width="12" customWidth="1" min="8" max="8"/>
    <col width="16" customWidth="1" min="9" max="9"/>
    <col width="42" customWidth="1" min="10" max="10"/>
  </cols>
  <sheetData>
    <row r="1" ht="36" customHeight="1">
      <c r="A1" s="8" t="inlineStr">
        <is>
          <t>WORKVENCE APPLICATION ROUTE INVENTORY (ALL 83 DISCOVERED ROUTES)</t>
        </is>
      </c>
    </row>
    <row r="3" ht="26" customHeight="1">
      <c r="A3" s="1" t="inlineStr">
        <is>
          <t>Route (Path)</t>
        </is>
      </c>
      <c r="B3" s="1" t="inlineStr">
        <is>
          <t>Page Name</t>
        </is>
      </c>
      <c r="C3" s="1" t="inlineStr">
        <is>
          <t>Module</t>
        </is>
      </c>
      <c r="D3" s="1" t="inlineStr">
        <is>
          <t>User Role</t>
        </is>
      </c>
      <c r="E3" s="1" t="inlineStr">
        <is>
          <t>Access Type</t>
        </is>
      </c>
      <c r="F3" s="1" t="inlineStr">
        <is>
          <t>Main Features &amp; Capabilities</t>
        </is>
      </c>
      <c r="G3" s="1" t="inlineStr">
        <is>
          <t>Related Test Case IDs</t>
        </is>
      </c>
      <c r="H3" s="1" t="inlineStr">
        <is>
          <t>UI Tested</t>
        </is>
      </c>
      <c r="I3" s="1" t="inlineStr">
        <is>
          <t>Functional Tested</t>
        </is>
      </c>
      <c r="J3" s="1" t="inlineStr">
        <is>
          <t>Technical Implementation Notes</t>
        </is>
      </c>
    </row>
    <row r="4" ht="35" customHeight="1">
      <c r="A4" s="26" t="inlineStr">
        <is>
          <t>/login</t>
        </is>
      </c>
      <c r="B4" s="3" t="inlineStr">
        <is>
          <t>Sign In Page</t>
        </is>
      </c>
      <c r="C4" s="3" t="inlineStr">
        <is>
          <t>Authentication</t>
        </is>
      </c>
      <c r="D4" s="4" t="inlineStr">
        <is>
          <t>Guest</t>
        </is>
      </c>
      <c r="E4" s="4" t="inlineStr">
        <is>
          <t>Guest-Only</t>
        </is>
      </c>
      <c r="F4" s="3" t="inlineStr">
        <is>
          <t>Email/password authentication, Google/GitHub OAuth links, 'Remember me', redirect query param support (/login?redirect=...)</t>
        </is>
      </c>
      <c r="G4" s="3" t="inlineStr">
        <is>
          <t>AUTH-001, AUTH-002, AUTH-003, AUTH-010, AUTH-017, SEC-001</t>
        </is>
      </c>
      <c r="H4" s="4" t="inlineStr">
        <is>
          <t>Planned</t>
        </is>
      </c>
      <c r="I4" s="4" t="inlineStr">
        <is>
          <t>Planned</t>
        </is>
      </c>
      <c r="J4" s="3" t="inlineStr">
        <is>
          <t>Redirects logged-in users to /dashboard. Automatically refreshes expired JWT via tokenRefresh.</t>
        </is>
      </c>
    </row>
    <row r="5" ht="35" customHeight="1">
      <c r="A5" s="27" t="inlineStr">
        <is>
          <t>/register</t>
        </is>
      </c>
      <c r="B5" s="6" t="inlineStr">
        <is>
          <t>Sign Up Page</t>
        </is>
      </c>
      <c r="C5" s="6" t="inlineStr">
        <is>
          <t>Authentication</t>
        </is>
      </c>
      <c r="D5" s="7" t="inlineStr">
        <is>
          <t>Guest / Seller</t>
        </is>
      </c>
      <c r="E5" s="7" t="inlineStr">
        <is>
          <t>Guest-Only (or Seller intent)</t>
        </is>
      </c>
      <c r="F5" s="6" t="inlineStr">
        <is>
          <t>Buyer registration, Seller onboarding intent (?seller=true), email validation, password strength rules, terms acceptance</t>
        </is>
      </c>
      <c r="G5" s="6" t="inlineStr">
        <is>
          <t>AUTH-004, AUTH-005, AUTH-006, AUTH-018</t>
        </is>
      </c>
      <c r="H5" s="7" t="inlineStr">
        <is>
          <t>Planned</t>
        </is>
      </c>
      <c r="I5" s="7" t="inlineStr">
        <is>
          <t>Planned</t>
        </is>
      </c>
      <c r="J5" s="6" t="inlineStr">
        <is>
          <t>Allows /register?seller=true for authenticated users seeking to onboard as seller.</t>
        </is>
      </c>
    </row>
    <row r="6" ht="35" customHeight="1">
      <c r="A6" s="26" t="inlineStr">
        <is>
          <t>/forgot-password</t>
        </is>
      </c>
      <c r="B6" s="3" t="inlineStr">
        <is>
          <t>Forgot Password Page</t>
        </is>
      </c>
      <c r="C6" s="3" t="inlineStr">
        <is>
          <t>Authentication</t>
        </is>
      </c>
      <c r="D6" s="4" t="inlineStr">
        <is>
          <t>Guest</t>
        </is>
      </c>
      <c r="E6" s="4" t="inlineStr">
        <is>
          <t>Guest-Only</t>
        </is>
      </c>
      <c r="F6" s="3" t="inlineStr">
        <is>
          <t>Email submission for reset link/code, input validation, error notification for unregistered email, back to login link</t>
        </is>
      </c>
      <c r="G6" s="3" t="inlineStr">
        <is>
          <t>AUTH-007, AUTH-008</t>
        </is>
      </c>
      <c r="H6" s="4" t="inlineStr">
        <is>
          <t>Planned</t>
        </is>
      </c>
      <c r="I6" s="4" t="inlineStr">
        <is>
          <t>Planned</t>
        </is>
      </c>
      <c r="J6" s="3" t="inlineStr">
        <is>
          <t>Sends POST request to /auth/forgot-password with safe user feedback.</t>
        </is>
      </c>
    </row>
    <row r="7" ht="35" customHeight="1">
      <c r="A7" s="27" t="inlineStr">
        <is>
          <t>/reset-password</t>
        </is>
      </c>
      <c r="B7" s="6" t="inlineStr">
        <is>
          <t>Reset Password Page</t>
        </is>
      </c>
      <c r="C7" s="6" t="inlineStr">
        <is>
          <t>Authentication</t>
        </is>
      </c>
      <c r="D7" s="7" t="inlineStr">
        <is>
          <t>Guest</t>
        </is>
      </c>
      <c r="E7" s="7" t="inlineStr">
        <is>
          <t>Guest-Only</t>
        </is>
      </c>
      <c r="F7" s="6" t="inlineStr">
        <is>
          <t>New password input, confirm password, token validation from URL query params, success confirmation banner</t>
        </is>
      </c>
      <c r="G7" s="6" t="inlineStr">
        <is>
          <t>AUTH-009, AUTH-011</t>
        </is>
      </c>
      <c r="H7" s="7" t="inlineStr">
        <is>
          <t>Planned</t>
        </is>
      </c>
      <c r="I7" s="7" t="inlineStr">
        <is>
          <t>Planned</t>
        </is>
      </c>
      <c r="J7" s="6" t="inlineStr">
        <is>
          <t>Validates reset token parameter; blocks submission on mismatched passwords.</t>
        </is>
      </c>
    </row>
    <row r="8" ht="35" customHeight="1">
      <c r="A8" s="26" t="inlineStr">
        <is>
          <t>/verify-email</t>
        </is>
      </c>
      <c r="B8" s="3" t="inlineStr">
        <is>
          <t>Verify Email Address Page</t>
        </is>
      </c>
      <c r="C8" s="3" t="inlineStr">
        <is>
          <t>Authentication</t>
        </is>
      </c>
      <c r="D8" s="4" t="inlineStr">
        <is>
          <t>Guest / User</t>
        </is>
      </c>
      <c r="E8" s="4" t="inlineStr">
        <is>
          <t>Guest-Only / Any</t>
        </is>
      </c>
      <c r="F8" s="3" t="inlineStr">
        <is>
          <t>Email verification token check, OTP verification form, resend verification email link</t>
        </is>
      </c>
      <c r="G8" s="3" t="inlineStr">
        <is>
          <t>AUTH-012, AUTH-013</t>
        </is>
      </c>
      <c r="H8" s="4" t="inlineStr">
        <is>
          <t>Planned</t>
        </is>
      </c>
      <c r="I8" s="4" t="inlineStr">
        <is>
          <t>Planned</t>
        </is>
      </c>
      <c r="J8" s="3" t="inlineStr">
        <is>
          <t>Validates email activation token and updates account verification status in store.</t>
        </is>
      </c>
    </row>
    <row r="9" ht="35" customHeight="1">
      <c r="A9" s="27" t="inlineStr">
        <is>
          <t>/favorites</t>
        </is>
      </c>
      <c r="B9" s="6" t="inlineStr">
        <is>
          <t>Favorite Packages Page</t>
        </is>
      </c>
      <c r="C9" s="6" t="inlineStr">
        <is>
          <t>Buyer Experience</t>
        </is>
      </c>
      <c r="D9" s="7" t="inlineStr">
        <is>
          <t>Buyer</t>
        </is>
      </c>
      <c r="E9" s="7" t="inlineStr">
        <is>
          <t>Protected-Buyer</t>
        </is>
      </c>
      <c r="F9" s="6" t="inlineStr">
        <is>
          <t>List of bookmarked service packages, remove from favorites toggle, direct link to package view, empty state placeholder</t>
        </is>
      </c>
      <c r="G9" s="6" t="inlineStr">
        <is>
          <t>BUY-009, BUY-010</t>
        </is>
      </c>
      <c r="H9" s="7" t="inlineStr">
        <is>
          <t>Planned</t>
        </is>
      </c>
      <c r="I9" s="7" t="inlineStr">
        <is>
          <t>Planned</t>
        </is>
      </c>
      <c r="J9" s="6" t="inlineStr">
        <is>
          <t>Reads favorite gig IDs from user store / backend /gigs/favorites API.</t>
        </is>
      </c>
    </row>
    <row r="10" ht="35" customHeight="1">
      <c r="A10" s="26" t="inlineStr">
        <is>
          <t>/orders</t>
        </is>
      </c>
      <c r="B10" s="3" t="inlineStr">
        <is>
          <t>Buyer Orders Dashboard</t>
        </is>
      </c>
      <c r="C10" s="3" t="inlineStr">
        <is>
          <t>Buyer Experience</t>
        </is>
      </c>
      <c r="D10" s="4" t="inlineStr">
        <is>
          <t>Buyer</t>
        </is>
      </c>
      <c r="E10" s="4" t="inlineStr">
        <is>
          <t>Protected-Buyer</t>
        </is>
      </c>
      <c r="F10" s="3" t="inlineStr">
        <is>
          <t>Buyer active, completed, and cancelled orders tabs, order item cards, status badges, link to order workspace</t>
        </is>
      </c>
      <c r="G10" s="3" t="inlineStr">
        <is>
          <t>BUY-011, ORD-001, ORD-002</t>
        </is>
      </c>
      <c r="H10" s="4" t="inlineStr">
        <is>
          <t>Planned</t>
        </is>
      </c>
      <c r="I10" s="4" t="inlineStr">
        <is>
          <t>Planned</t>
        </is>
      </c>
      <c r="J10" s="3" t="inlineStr">
        <is>
          <t>Sellers accessing /orders are automatically redirected to /manage-orders by proxy.</t>
        </is>
      </c>
    </row>
    <row r="11" ht="35" customHeight="1">
      <c r="A11" s="27" t="inlineStr">
        <is>
          <t>/orders/manage</t>
        </is>
      </c>
      <c r="B11" s="6" t="inlineStr">
        <is>
          <t>Buyer Orders Management</t>
        </is>
      </c>
      <c r="C11" s="6" t="inlineStr">
        <is>
          <t>Buyer Experience</t>
        </is>
      </c>
      <c r="D11" s="7" t="inlineStr">
        <is>
          <t>Buyer</t>
        </is>
      </c>
      <c r="E11" s="7" t="inlineStr">
        <is>
          <t>Protected-Buyer</t>
        </is>
      </c>
      <c r="F11" s="6" t="inlineStr">
        <is>
          <t>Advanced order filtering, search by order ID, date range filter, spending summary metrics</t>
        </is>
      </c>
      <c r="G11" s="6" t="inlineStr">
        <is>
          <t>BUY-012, ORD-003</t>
        </is>
      </c>
      <c r="H11" s="7" t="inlineStr">
        <is>
          <t>Planned</t>
        </is>
      </c>
      <c r="I11" s="7" t="inlineStr">
        <is>
          <t>Planned</t>
        </is>
      </c>
      <c r="J11" s="6" t="inlineStr">
        <is>
          <t>Secondary buyer order tracking view with detailed order filtering.</t>
        </is>
      </c>
    </row>
    <row r="12" ht="35" customHeight="1">
      <c r="A12" s="26" t="inlineStr">
        <is>
          <t>/orders/manage-orders</t>
        </is>
      </c>
      <c r="B12" s="3" t="inlineStr">
        <is>
          <t>Buyer Orders Alternate View</t>
        </is>
      </c>
      <c r="C12" s="3" t="inlineStr">
        <is>
          <t>Buyer Experience</t>
        </is>
      </c>
      <c r="D12" s="4" t="inlineStr">
        <is>
          <t>Buyer</t>
        </is>
      </c>
      <c r="E12" s="4" t="inlineStr">
        <is>
          <t>Protected-Buyer</t>
        </is>
      </c>
      <c r="F12" s="3" t="inlineStr">
        <is>
          <t>Buyer orders table view, status pills, milestone delivery alerts</t>
        </is>
      </c>
      <c r="G12" s="3" t="inlineStr">
        <is>
          <t>BUY-013, ORD-004</t>
        </is>
      </c>
      <c r="H12" s="4" t="inlineStr">
        <is>
          <t>Planned</t>
        </is>
      </c>
      <c r="I12" s="4" t="inlineStr">
        <is>
          <t>Planned</t>
        </is>
      </c>
      <c r="J12" s="3" t="inlineStr">
        <is>
          <t>Maintained for backwards-compatible buyer order routing.</t>
        </is>
      </c>
    </row>
    <row r="13" ht="35" customHeight="1">
      <c r="A13" s="27" t="inlineStr">
        <is>
          <t>/pay/[id]</t>
        </is>
      </c>
      <c r="B13" s="6" t="inlineStr">
        <is>
          <t>Package Checkout &amp; Payment</t>
        </is>
      </c>
      <c r="C13" s="6" t="inlineStr">
        <is>
          <t>Buyer Experience</t>
        </is>
      </c>
      <c r="D13" s="7" t="inlineStr">
        <is>
          <t>Buyer</t>
        </is>
      </c>
      <c r="E13" s="7" t="inlineStr">
        <is>
          <t>Protected-Buyer</t>
        </is>
      </c>
      <c r="F13" s="6" t="inlineStr">
        <is>
          <t>Order summary calculation (tier price + fee + tax), Stripe Elements credit card form, 3D Secure / OTP prompt, promo code input</t>
        </is>
      </c>
      <c r="G13" s="6" t="inlineStr">
        <is>
          <t>PAY-001, PAY-002, PAY-003, PAY-004, PAY-005, PAY-006</t>
        </is>
      </c>
      <c r="H13" s="7" t="inlineStr">
        <is>
          <t>Planned</t>
        </is>
      </c>
      <c r="I13" s="7" t="inlineStr">
        <is>
          <t>Planned</t>
        </is>
      </c>
      <c r="J13" s="6" t="inlineStr">
        <is>
          <t>Requires dynamic [id] (gig ID) and optional query ?tier=basic|standard|premium. Communicates with Stripe API.</t>
        </is>
      </c>
    </row>
    <row r="14" ht="35" customHeight="1">
      <c r="A14" s="26" t="inlineStr">
        <is>
          <t>/success</t>
        </is>
      </c>
      <c r="B14" s="3" t="inlineStr">
        <is>
          <t>Order Payment Success Confirmation</t>
        </is>
      </c>
      <c r="C14" s="3" t="inlineStr">
        <is>
          <t>Buyer Experience</t>
        </is>
      </c>
      <c r="D14" s="4" t="inlineStr">
        <is>
          <t>Buyer</t>
        </is>
      </c>
      <c r="E14" s="4" t="inlineStr">
        <is>
          <t>Protected-Buyer</t>
        </is>
      </c>
      <c r="F14" s="3" t="inlineStr">
        <is>
          <t>Order confirmation celebration banner, order number display, link to order workspace, link to return to marketplace</t>
        </is>
      </c>
      <c r="G14" s="3" t="inlineStr">
        <is>
          <t>PAY-007, PAY-008</t>
        </is>
      </c>
      <c r="H14" s="4" t="inlineStr">
        <is>
          <t>Planned</t>
        </is>
      </c>
      <c r="I14" s="4" t="inlineStr">
        <is>
          <t>Planned</t>
        </is>
      </c>
      <c r="J14" s="3" t="inlineStr">
        <is>
          <t>Displays transaction summary; clears checkout session state.</t>
        </is>
      </c>
    </row>
    <row r="15" ht="35" customHeight="1">
      <c r="A15" s="27" t="inlineStr">
        <is>
          <t>/organize</t>
        </is>
      </c>
      <c r="B15" s="6" t="inlineStr">
        <is>
          <t>Create Service Package Studio</t>
        </is>
      </c>
      <c r="C15" s="6" t="inlineStr">
        <is>
          <t>Seller Hub</t>
        </is>
      </c>
      <c r="D15" s="7" t="inlineStr">
        <is>
          <t>Seller</t>
        </is>
      </c>
      <c r="E15" s="7" t="inlineStr">
        <is>
          <t>Protected-Seller</t>
        </is>
      </c>
      <c r="F15" s="6" t="inlineStr">
        <is>
          <t>Multi-tier gig creator: title, category/subcategory, tags, 3-tier pricing table, Quill rich-text editor, media gallery uploader, publish button</t>
        </is>
      </c>
      <c r="G15" s="6" t="inlineStr">
        <is>
          <t>PKG-001, PKG-002, PKG-003, PKG-004, PKG-005, PKG-006, PKG-007, PKG-008</t>
        </is>
      </c>
      <c r="H15" s="7" t="inlineStr">
        <is>
          <t>Planned</t>
        </is>
      </c>
      <c r="I15" s="7" t="inlineStr">
        <is>
          <t>Planned</t>
        </is>
      </c>
      <c r="J15" s="6" t="inlineStr">
        <is>
          <t>Uses packageReducer.ts for multi-step form state management. Sanitizes payloads before NestJS API dispatch.</t>
        </is>
      </c>
    </row>
    <row r="16" ht="35" customHeight="1">
      <c r="A16" s="26" t="inlineStr">
        <is>
          <t>/organize/[id]</t>
        </is>
      </c>
      <c r="B16" s="3" t="inlineStr">
        <is>
          <t>Edit Service Package Studio</t>
        </is>
      </c>
      <c r="C16" s="3" t="inlineStr">
        <is>
          <t>Seller Hub</t>
        </is>
      </c>
      <c r="D16" s="4" t="inlineStr">
        <is>
          <t>Seller</t>
        </is>
      </c>
      <c r="E16" s="4" t="inlineStr">
        <is>
          <t>Protected-Seller</t>
        </is>
      </c>
      <c r="F16" s="3" t="inlineStr">
        <is>
          <t>Prefilled gig data editor, update pricing tiers, edit Quill description, replace/add gallery images, save changes button</t>
        </is>
      </c>
      <c r="G16" s="3" t="inlineStr">
        <is>
          <t>PKG-009, PKG-010, PKG-011</t>
        </is>
      </c>
      <c r="H16" s="4" t="inlineStr">
        <is>
          <t>Planned</t>
        </is>
      </c>
      <c r="I16" s="4" t="inlineStr">
        <is>
          <t>Planned</t>
        </is>
      </c>
      <c r="J16" s="3" t="inlineStr">
        <is>
          <t>Ensures non-owners cannot edit someone else's gig (IDOR security check).</t>
        </is>
      </c>
    </row>
    <row r="17" ht="35" customHeight="1">
      <c r="A17" s="27" t="inlineStr">
        <is>
          <t>/my-packages</t>
        </is>
      </c>
      <c r="B17" s="6" t="inlineStr">
        <is>
          <t>Seller Service Packages Inventory</t>
        </is>
      </c>
      <c r="C17" s="6" t="inlineStr">
        <is>
          <t>Seller Hub</t>
        </is>
      </c>
      <c r="D17" s="7" t="inlineStr">
        <is>
          <t>Seller</t>
        </is>
      </c>
      <c r="E17" s="7" t="inlineStr">
        <is>
          <t>Protected-Seller</t>
        </is>
      </c>
      <c r="F17" s="6" t="inlineStr">
        <is>
          <t>List of seller gigs, status badges (Active, Draft, Paused), impressions, clicks, orders count, edit link, delete action</t>
        </is>
      </c>
      <c r="G17" s="6" t="inlineStr">
        <is>
          <t>SEL-001, SEL-002, SEL-003, SEL-004</t>
        </is>
      </c>
      <c r="H17" s="7" t="inlineStr">
        <is>
          <t>Planned</t>
        </is>
      </c>
      <c r="I17" s="7" t="inlineStr">
        <is>
          <t>Planned</t>
        </is>
      </c>
      <c r="J17" s="6" t="inlineStr">
        <is>
          <t>Connects to /gigs/user/:userId backend endpoint with pagination.</t>
        </is>
      </c>
    </row>
    <row r="18" ht="35" customHeight="1">
      <c r="A18" s="26" t="inlineStr">
        <is>
          <t>/manage-orders</t>
        </is>
      </c>
      <c r="B18" s="3" t="inlineStr">
        <is>
          <t>Seller Orders Management</t>
        </is>
      </c>
      <c r="C18" s="3" t="inlineStr">
        <is>
          <t>Seller Hub</t>
        </is>
      </c>
      <c r="D18" s="4" t="inlineStr">
        <is>
          <t>Seller</t>
        </is>
      </c>
      <c r="E18" s="4" t="inlineStr">
        <is>
          <t>Protected-Seller</t>
        </is>
      </c>
      <c r="F18" s="3" t="inlineStr">
        <is>
          <t>Seller orders table, filter tabs (Active, Delivered, Completed, Cancelled), countdown timer, client username, revenue, action to view workspace</t>
        </is>
      </c>
      <c r="G18" s="3" t="inlineStr">
        <is>
          <t>SEL-005, SEL-006, ORD-005, ORD-006</t>
        </is>
      </c>
      <c r="H18" s="4" t="inlineStr">
        <is>
          <t>Planned</t>
        </is>
      </c>
      <c r="I18" s="4" t="inlineStr">
        <is>
          <t>Planned</t>
        </is>
      </c>
      <c r="J18" s="3" t="inlineStr">
        <is>
          <t>Protected seller-only route. Non-sellers redirected to /dashboard.</t>
        </is>
      </c>
    </row>
    <row r="19" ht="35" customHeight="1">
      <c r="A19" s="27" t="inlineStr">
        <is>
          <t>/earnings</t>
        </is>
      </c>
      <c r="B19" s="6" t="inlineStr">
        <is>
          <t>Seller Earnings &amp; Payouts</t>
        </is>
      </c>
      <c r="C19" s="6" t="inlineStr">
        <is>
          <t>Seller Hub</t>
        </is>
      </c>
      <c r="D19" s="7" t="inlineStr">
        <is>
          <t>Seller</t>
        </is>
      </c>
      <c r="E19" s="7" t="inlineStr">
        <is>
          <t>Protected-Seller</t>
        </is>
      </c>
      <c r="F19" s="6" t="inlineStr">
        <is>
          <t>Net income, withdrawn funds, used for purchases, pending clearance, available balance, Stripe Connect onboarding button, payout history table</t>
        </is>
      </c>
      <c r="G19" s="6" t="inlineStr">
        <is>
          <t>SEL-007, SEL-008, SEL-009, SEL-010</t>
        </is>
      </c>
      <c r="H19" s="7" t="inlineStr">
        <is>
          <t>Planned</t>
        </is>
      </c>
      <c r="I19" s="7" t="inlineStr">
        <is>
          <t>Planned</t>
        </is>
      </c>
      <c r="J19" s="6" t="inlineStr">
        <is>
          <t>Integrates with Stripe Connect Express accounts for seller withdrawals.</t>
        </is>
      </c>
    </row>
    <row r="20" ht="35" customHeight="1">
      <c r="A20" s="26" t="inlineStr">
        <is>
          <t>/kyc</t>
        </is>
      </c>
      <c r="B20" s="3" t="inlineStr">
        <is>
          <t>KYC Identity Verification Portal</t>
        </is>
      </c>
      <c r="C20" s="3" t="inlineStr">
        <is>
          <t>Seller Hub</t>
        </is>
      </c>
      <c r="D20" s="4" t="inlineStr">
        <is>
          <t>Seller</t>
        </is>
      </c>
      <c r="E20" s="4" t="inlineStr">
        <is>
          <t>Protected-Seller</t>
        </is>
      </c>
      <c r="F20" s="3" t="inlineStr">
        <is>
          <t>Identity document type selection (Passport, National ID, Driver License), document front/back upload, selfie upload, personal details form, submit button</t>
        </is>
      </c>
      <c r="G20" s="3" t="inlineStr">
        <is>
          <t>SEL-011, SEL-012, SEL-013, SEL-014</t>
        </is>
      </c>
      <c r="H20" s="4" t="inlineStr">
        <is>
          <t>Planned</t>
        </is>
      </c>
      <c r="I20" s="4" t="inlineStr">
        <is>
          <t>Planned</t>
        </is>
      </c>
      <c r="J20" s="3" t="inlineStr">
        <is>
          <t>Multi-step form submitting to KYC verification API with file upload to Cloudinary/S3.</t>
        </is>
      </c>
    </row>
    <row r="21" ht="35" customHeight="1">
      <c r="A21" s="27" t="inlineStr">
        <is>
          <t>/settings/verification</t>
        </is>
      </c>
      <c r="B21" s="6" t="inlineStr">
        <is>
          <t>Account Verification Settings</t>
        </is>
      </c>
      <c r="C21" s="6" t="inlineStr">
        <is>
          <t>Seller Hub</t>
        </is>
      </c>
      <c r="D21" s="7" t="inlineStr">
        <is>
          <t>Seller</t>
        </is>
      </c>
      <c r="E21" s="7" t="inlineStr">
        <is>
          <t>Protected-Seller</t>
        </is>
      </c>
      <c r="F21" s="6" t="inlineStr">
        <is>
          <t>Current KYC status badge (Unverified, Pending, Approved, Rejected), phone verification status, email verification status, re-submit CTA</t>
        </is>
      </c>
      <c r="G21" s="6" t="inlineStr">
        <is>
          <t>SEL-015, SEL-016</t>
        </is>
      </c>
      <c r="H21" s="7" t="inlineStr">
        <is>
          <t>Planned</t>
        </is>
      </c>
      <c r="I21" s="7" t="inlineStr">
        <is>
          <t>Planned</t>
        </is>
      </c>
      <c r="J21" s="6" t="inlineStr">
        <is>
          <t>Shows seller badge eligibility criteria.</t>
        </is>
      </c>
    </row>
    <row r="22" ht="35" customHeight="1">
      <c r="A22" s="26" t="inlineStr">
        <is>
          <t>/seller/suspended</t>
        </is>
      </c>
      <c r="B22" s="3" t="inlineStr">
        <is>
          <t>Seller Account Suspended Notice</t>
        </is>
      </c>
      <c r="C22" s="3" t="inlineStr">
        <is>
          <t>Seller Hub</t>
        </is>
      </c>
      <c r="D22" s="4" t="inlineStr">
        <is>
          <t>Seller</t>
        </is>
      </c>
      <c r="E22" s="4" t="inlineStr">
        <is>
          <t>Protected-Seller</t>
        </is>
      </c>
      <c r="F22" s="3" t="inlineStr">
        <is>
          <t>Account restriction notice, policy violation explanation, appeals process link to contact support</t>
        </is>
      </c>
      <c r="G22" s="3" t="inlineStr">
        <is>
          <t>SEL-017, SEL-018</t>
        </is>
      </c>
      <c r="H22" s="4" t="inlineStr">
        <is>
          <t>Planned</t>
        </is>
      </c>
      <c r="I22" s="4" t="inlineStr">
        <is>
          <t>Planned</t>
        </is>
      </c>
      <c r="J22" s="3" t="inlineStr">
        <is>
          <t>Rendered when seller user profile has isSuspended: true.</t>
        </is>
      </c>
    </row>
    <row r="23" ht="35" customHeight="1">
      <c r="A23" s="27" t="inlineStr">
        <is>
          <t>/suspended-seller</t>
        </is>
      </c>
      <c r="B23" s="6" t="inlineStr">
        <is>
          <t>Suspended Seller Alternate Route</t>
        </is>
      </c>
      <c r="C23" s="6" t="inlineStr">
        <is>
          <t>Seller Hub</t>
        </is>
      </c>
      <c r="D23" s="7" t="inlineStr">
        <is>
          <t>Seller</t>
        </is>
      </c>
      <c r="E23" s="7" t="inlineStr">
        <is>
          <t>Protected-Seller</t>
        </is>
      </c>
      <c r="F23" s="6" t="inlineStr">
        <is>
          <t>Alternative redirect page for suspended sellers with support contact CTA</t>
        </is>
      </c>
      <c r="G23" s="6" t="inlineStr">
        <is>
          <t>SEL-019, SEL-020</t>
        </is>
      </c>
      <c r="H23" s="7" t="inlineStr">
        <is>
          <t>Planned</t>
        </is>
      </c>
      <c r="I23" s="7" t="inlineStr">
        <is>
          <t>Planned</t>
        </is>
      </c>
      <c r="J23" s="6" t="inlineStr">
        <is>
          <t>Provides seamless redirection when attempting to perform seller actions while suspended.</t>
        </is>
      </c>
    </row>
    <row r="24" ht="35" customHeight="1">
      <c r="A24" s="26" t="inlineStr">
        <is>
          <t>/briefs</t>
        </is>
      </c>
      <c r="B24" s="3" t="inlineStr">
        <is>
          <t>Project Briefs Catalog</t>
        </is>
      </c>
      <c r="C24" s="3" t="inlineStr">
        <is>
          <t>Briefs &amp; Proposals</t>
        </is>
      </c>
      <c r="D24" s="4" t="inlineStr">
        <is>
          <t>Public / Seller</t>
        </is>
      </c>
      <c r="E24" s="4" t="inlineStr">
        <is>
          <t>Public</t>
        </is>
      </c>
      <c r="F24" s="3" t="inlineStr">
        <is>
          <t>Browse posted briefs, category filters, budget range filter, search keyword, brief cards with budget, timeline, proposal count, and 'Apply' button</t>
        </is>
      </c>
      <c r="G24" s="3" t="inlineStr">
        <is>
          <t>BRF-001, BRF-002, BRF-003</t>
        </is>
      </c>
      <c r="H24" s="4" t="inlineStr">
        <is>
          <t>Planned</t>
        </is>
      </c>
      <c r="I24" s="4" t="inlineStr">
        <is>
          <t>Planned</t>
        </is>
      </c>
      <c r="J24" s="3" t="inlineStr">
        <is>
          <t>Next.js permanent redirect exists from /brief -&gt; /briefs.</t>
        </is>
      </c>
    </row>
    <row r="25" ht="35" customHeight="1">
      <c r="A25" s="27" t="inlineStr">
        <is>
          <t>/briefs/create</t>
        </is>
      </c>
      <c r="B25" s="6" t="inlineStr">
        <is>
          <t>Create Project Brief Studio</t>
        </is>
      </c>
      <c r="C25" s="6" t="inlineStr">
        <is>
          <t>Briefs &amp; Proposals</t>
        </is>
      </c>
      <c r="D25" s="7" t="inlineStr">
        <is>
          <t>Buyer</t>
        </is>
      </c>
      <c r="E25" s="7" t="inlineStr">
        <is>
          <t>Protected-Buyer</t>
        </is>
      </c>
      <c r="F25" s="6" t="inlineStr">
        <is>
          <t>'Create with AI' prompt assistant, title, description, category selector, budget input, delivery deadline, attachment upload, 'Post Brief' button</t>
        </is>
      </c>
      <c r="G25" s="6" t="inlineStr">
        <is>
          <t>BRF-004, BRF-005, BRF-006, BRF-007, BRF-008</t>
        </is>
      </c>
      <c r="H25" s="7" t="inlineStr">
        <is>
          <t>Planned</t>
        </is>
      </c>
      <c r="I25" s="7" t="inlineStr">
        <is>
          <t>Planned</t>
        </is>
      </c>
      <c r="J25" s="6" t="inlineStr">
        <is>
          <t>Calls /briefs/ai-generate backend service for automatic brief title &amp; requirements drafting.</t>
        </is>
      </c>
    </row>
    <row r="26" ht="35" customHeight="1">
      <c r="A26" s="26" t="inlineStr">
        <is>
          <t>/briefs/[id]</t>
        </is>
      </c>
      <c r="B26" s="3" t="inlineStr">
        <is>
          <t>Project Brief Details View</t>
        </is>
      </c>
      <c r="C26" s="3" t="inlineStr">
        <is>
          <t>Briefs &amp; Proposals</t>
        </is>
      </c>
      <c r="D26" s="4" t="inlineStr">
        <is>
          <t>Public / Any</t>
        </is>
      </c>
      <c r="E26" s="4" t="inlineStr">
        <is>
          <t>Public</t>
        </is>
      </c>
      <c r="F26" s="3" t="inlineStr">
        <is>
          <t>Brief full description, client info, budget, timeline, required skills tags, 'Submit Proposal' modal trigger (for sellers)</t>
        </is>
      </c>
      <c r="G26" s="3" t="inlineStr">
        <is>
          <t>BRF-009, BRF-010, BRF-011</t>
        </is>
      </c>
      <c r="H26" s="4" t="inlineStr">
        <is>
          <t>Planned</t>
        </is>
      </c>
      <c r="I26" s="4" t="inlineStr">
        <is>
          <t>Planned</t>
        </is>
      </c>
      <c r="J26" s="3" t="inlineStr">
        <is>
          <t>Dynamic route [id]. Opens proposal modal for authenticated sellers; prompts login for guests.</t>
        </is>
      </c>
    </row>
    <row r="27" ht="35" customHeight="1">
      <c r="A27" s="27" t="inlineStr">
        <is>
          <t>/briefs/[id]/proposals</t>
        </is>
      </c>
      <c r="B27" s="6" t="inlineStr">
        <is>
          <t>Buyer Proposals Review &amp; AI Matching</t>
        </is>
      </c>
      <c r="C27" s="6" t="inlineStr">
        <is>
          <t>Briefs &amp; Proposals</t>
        </is>
      </c>
      <c r="D27" s="7" t="inlineStr">
        <is>
          <t>Buyer (Owner)</t>
        </is>
      </c>
      <c r="E27" s="7" t="inlineStr">
        <is>
          <t>Protected-Buyer</t>
        </is>
      </c>
      <c r="F27" s="6" t="inlineStr">
        <is>
          <t>Audit proposals list, AI proposal ranking, seller bid price, delivery days, cover letter, 'Hire Seller' CTA, 'Reject' proposal CTA</t>
        </is>
      </c>
      <c r="G27" s="6" t="inlineStr">
        <is>
          <t>BRF-012, BRF-013, BRF-014, BRF-015</t>
        </is>
      </c>
      <c r="H27" s="7" t="inlineStr">
        <is>
          <t>Planned</t>
        </is>
      </c>
      <c r="I27" s="7" t="inlineStr">
        <is>
          <t>Planned</t>
        </is>
      </c>
      <c r="J27" s="6" t="inlineStr">
        <is>
          <t>Protected: Only the buyer who authored the brief can view received proposals.</t>
        </is>
      </c>
    </row>
    <row r="28" ht="35" customHeight="1">
      <c r="A28" s="26" t="inlineStr">
        <is>
          <t>/briefs/my-briefs</t>
        </is>
      </c>
      <c r="B28" s="3" t="inlineStr">
        <is>
          <t>Buyer My Briefs Dashboard</t>
        </is>
      </c>
      <c r="C28" s="3" t="inlineStr">
        <is>
          <t>Briefs &amp; Proposals</t>
        </is>
      </c>
      <c r="D28" s="4" t="inlineStr">
        <is>
          <t>Buyer</t>
        </is>
      </c>
      <c r="E28" s="4" t="inlineStr">
        <is>
          <t>Protected-Buyer</t>
        </is>
      </c>
      <c r="F28" s="3" t="inlineStr">
        <is>
          <t>Buyer's posted briefs list, status pills (Open, Assigned, Closed), total proposals received counter, edit/close brief actions</t>
        </is>
      </c>
      <c r="G28" s="3" t="inlineStr">
        <is>
          <t>BRF-016, BRF-017, BRF-018</t>
        </is>
      </c>
      <c r="H28" s="4" t="inlineStr">
        <is>
          <t>Planned</t>
        </is>
      </c>
      <c r="I28" s="4" t="inlineStr">
        <is>
          <t>Planned</t>
        </is>
      </c>
      <c r="J28" s="3" t="inlineStr">
        <is>
          <t>Filtered list of briefs authored by the current authenticated buyer.</t>
        </is>
      </c>
    </row>
    <row r="29" ht="35" customHeight="1">
      <c r="A29" s="27" t="inlineStr">
        <is>
          <t>/briefs/my-proposals</t>
        </is>
      </c>
      <c r="B29" s="6" t="inlineStr">
        <is>
          <t>Seller My Proposals Dashboard</t>
        </is>
      </c>
      <c r="C29" s="6" t="inlineStr">
        <is>
          <t>Briefs &amp; Proposals</t>
        </is>
      </c>
      <c r="D29" s="7" t="inlineStr">
        <is>
          <t>Seller</t>
        </is>
      </c>
      <c r="E29" s="7" t="inlineStr">
        <is>
          <t>Protected-Seller</t>
        </is>
      </c>
      <c r="F29" s="6" t="inlineStr">
        <is>
          <t>Seller's submitted proposals table, proposal status (Pending, Shortlisted, Accepted, Declined), proposed price, client name</t>
        </is>
      </c>
      <c r="G29" s="6" t="inlineStr">
        <is>
          <t>BRF-019, BRF-020</t>
        </is>
      </c>
      <c r="H29" s="7" t="inlineStr">
        <is>
          <t>Planned</t>
        </is>
      </c>
      <c r="I29" s="7" t="inlineStr">
        <is>
          <t>Planned</t>
        </is>
      </c>
      <c r="J29" s="6" t="inlineStr">
        <is>
          <t>Allows sellers to track status of all bids submitted to client briefs.</t>
        </is>
      </c>
    </row>
    <row r="30" ht="35" customHeight="1">
      <c r="A30" s="26" t="inlineStr">
        <is>
          <t>/orders/[id]</t>
        </is>
      </c>
      <c r="B30" s="3" t="inlineStr">
        <is>
          <t>Order Workspace &amp; Delivery Center</t>
        </is>
      </c>
      <c r="C30" s="3" t="inlineStr">
        <is>
          <t>Orders Lifecycle</t>
        </is>
      </c>
      <c r="D30" s="4" t="inlineStr">
        <is>
          <t>Buyer / Seller</t>
        </is>
      </c>
      <c r="E30" s="4" t="inlineStr">
        <is>
          <t>Protected-Any (Party)</t>
        </is>
      </c>
      <c r="F30" s="3" t="inlineStr">
        <is>
          <t>Order state machine (In Progress, Delivered, Revision Requested, Completed, Disputed), countdown timer, activity feed, 'Deliver Work' modal, 'Request Revision' modal, 'Extend Delivery' modal, 'Accept Delivery' action</t>
        </is>
      </c>
      <c r="G30" s="3" t="inlineStr">
        <is>
          <t>ORD-007, ORD-008, ORD-009, ORD-010, ORD-011, ORD-012, ORD-013, ORD-014, ORD-015, ORD-016</t>
        </is>
      </c>
      <c r="H30" s="4" t="inlineStr">
        <is>
          <t>Planned</t>
        </is>
      </c>
      <c r="I30" s="4" t="inlineStr">
        <is>
          <t>Planned</t>
        </is>
      </c>
      <c r="J30" s="3" t="inlineStr">
        <is>
          <t>Central order hub. Verifies that only the buyer or seller assigned to the order can access.</t>
        </is>
      </c>
    </row>
    <row r="31" ht="35" customHeight="1">
      <c r="A31" s="27" t="inlineStr">
        <is>
          <t>/orders/contact/[id]</t>
        </is>
      </c>
      <c r="B31" s="6" t="inlineStr">
        <is>
          <t>Order Support &amp; Dispute Contact</t>
        </is>
      </c>
      <c r="C31" s="6" t="inlineStr">
        <is>
          <t>Orders Lifecycle</t>
        </is>
      </c>
      <c r="D31" s="7" t="inlineStr">
        <is>
          <t>Buyer / Seller</t>
        </is>
      </c>
      <c r="E31" s="7" t="inlineStr">
        <is>
          <t>Protected-Any (Party)</t>
        </is>
      </c>
      <c r="F31" s="6" t="inlineStr">
        <is>
          <t>Direct messaging link between buyer and seller regarding a specific order, resolution center escalation link</t>
        </is>
      </c>
      <c r="G31" s="6" t="inlineStr">
        <is>
          <t>ORD-017, ORD-018</t>
        </is>
      </c>
      <c r="H31" s="7" t="inlineStr">
        <is>
          <t>Planned</t>
        </is>
      </c>
      <c r="I31" s="7" t="inlineStr">
        <is>
          <t>Planned</t>
        </is>
      </c>
      <c r="J31" s="6" t="inlineStr">
        <is>
          <t>Provides dedicated context for order-related inquiries and problem resolution.</t>
        </is>
      </c>
    </row>
    <row r="32" ht="35" customHeight="1">
      <c r="A32" s="26" t="inlineStr">
        <is>
          <t>/messages</t>
        </is>
      </c>
      <c r="B32" s="3" t="inlineStr">
        <is>
          <t>Real-Time Messages Inbox</t>
        </is>
      </c>
      <c r="C32" s="3" t="inlineStr">
        <is>
          <t>Messaging &amp; Chat</t>
        </is>
      </c>
      <c r="D32" s="4" t="inlineStr">
        <is>
          <t>Buyer / Seller</t>
        </is>
      </c>
      <c r="E32" s="4" t="inlineStr">
        <is>
          <t>Protected-Any</t>
        </is>
      </c>
      <c r="F32" s="3" t="inlineStr">
        <is>
          <t>Conversation list with unread badges, active chat thread, Socket.io real-time message stream, typing indicator, attachment upload, user presence (online/offline)</t>
        </is>
      </c>
      <c r="G32" s="3" t="inlineStr">
        <is>
          <t>MSG-001, MSG-002, MSG-003, MSG-004, MSG-005, MSG-006, MSG-007, MSG-008</t>
        </is>
      </c>
      <c r="H32" s="4" t="inlineStr">
        <is>
          <t>Planned</t>
        </is>
      </c>
      <c r="I32" s="4" t="inlineStr">
        <is>
          <t>Planned</t>
        </is>
      </c>
      <c r="J32" s="3" t="inlineStr">
        <is>
          <t>Uses socket.ts and ChatView component. Connects to backend Socket.io gateway.</t>
        </is>
      </c>
    </row>
    <row r="33" ht="35" customHeight="1">
      <c r="A33" s="27" t="inlineStr">
        <is>
          <t>/message</t>
        </is>
      </c>
      <c r="B33" s="6" t="inlineStr">
        <is>
          <t>Message Thread Alias</t>
        </is>
      </c>
      <c r="C33" s="6" t="inlineStr">
        <is>
          <t>Messaging &amp; Chat</t>
        </is>
      </c>
      <c r="D33" s="7" t="inlineStr">
        <is>
          <t>Buyer / Seller</t>
        </is>
      </c>
      <c r="E33" s="7" t="inlineStr">
        <is>
          <t>Protected-Any</t>
        </is>
      </c>
      <c r="F33" s="6" t="inlineStr">
        <is>
          <t>Fallback routing to primary message inbox</t>
        </is>
      </c>
      <c r="G33" s="6" t="inlineStr">
        <is>
          <t>MSG-009, MSG-010</t>
        </is>
      </c>
      <c r="H33" s="7" t="inlineStr">
        <is>
          <t>Planned</t>
        </is>
      </c>
      <c r="I33" s="7" t="inlineStr">
        <is>
          <t>Planned</t>
        </is>
      </c>
      <c r="J33" s="6" t="inlineStr">
        <is>
          <t>Redirects or maps to /messages for route robustness.</t>
        </is>
      </c>
    </row>
    <row r="34" ht="35" customHeight="1">
      <c r="A34" s="26" t="inlineStr">
        <is>
          <t>/message/[id]</t>
        </is>
      </c>
      <c r="B34" s="3" t="inlineStr">
        <is>
          <t>Direct Conversation Thread</t>
        </is>
      </c>
      <c r="C34" s="3" t="inlineStr">
        <is>
          <t>Messaging &amp; Chat</t>
        </is>
      </c>
      <c r="D34" s="4" t="inlineStr">
        <is>
          <t>Buyer / Seller</t>
        </is>
      </c>
      <c r="E34" s="4" t="inlineStr">
        <is>
          <t>Protected-Any</t>
        </is>
      </c>
      <c r="F34" s="3" t="inlineStr">
        <is>
          <t>Direct link to conversation with specific user [id], auto-selects chat thread, preloads message history</t>
        </is>
      </c>
      <c r="G34" s="3" t="inlineStr">
        <is>
          <t>MSG-011, MSG-012, MSG-013</t>
        </is>
      </c>
      <c r="H34" s="4" t="inlineStr">
        <is>
          <t>Planned</t>
        </is>
      </c>
      <c r="I34" s="4" t="inlineStr">
        <is>
          <t>Planned</t>
        </is>
      </c>
      <c r="J34" s="3" t="inlineStr">
        <is>
          <t>Opens chat directly with specified user/order context.</t>
        </is>
      </c>
    </row>
    <row r="35" ht="35" customHeight="1">
      <c r="A35" s="27" t="inlineStr">
        <is>
          <t>/notifications</t>
        </is>
      </c>
      <c r="B35" s="6" t="inlineStr">
        <is>
          <t>Notifications Center</t>
        </is>
      </c>
      <c r="C35" s="6" t="inlineStr">
        <is>
          <t>Notifications</t>
        </is>
      </c>
      <c r="D35" s="7" t="inlineStr">
        <is>
          <t>Buyer / Seller</t>
        </is>
      </c>
      <c r="E35" s="7" t="inlineStr">
        <is>
          <t>Protected-Any</t>
        </is>
      </c>
      <c r="F35" s="6" t="inlineStr">
        <is>
          <t>Notification list, filter pills (All, Unread, Orders, Messages), 'Mark all as read' button, unread status indicators, deep links to relevant items</t>
        </is>
      </c>
      <c r="G35" s="6" t="inlineStr">
        <is>
          <t>NOT-001, NOT-002, NOT-003, NOT-004, NOT-005, NOT-006, NOT-007, NOT-008</t>
        </is>
      </c>
      <c r="H35" s="7" t="inlineStr">
        <is>
          <t>Planned</t>
        </is>
      </c>
      <c r="I35" s="7" t="inlineStr">
        <is>
          <t>Planned</t>
        </is>
      </c>
      <c r="J35" s="6" t="inlineStr">
        <is>
          <t>Listens for real-time socket notification events and updates badge in global header.</t>
        </is>
      </c>
    </row>
    <row r="36" ht="35" customHeight="1">
      <c r="A36" s="26" t="inlineStr">
        <is>
          <t>/dashboard</t>
        </is>
      </c>
      <c r="B36" s="3" t="inlineStr">
        <is>
          <t>Central Role-Based Dashboard Router</t>
        </is>
      </c>
      <c r="C36" s="3" t="inlineStr">
        <is>
          <t>Dashboards</t>
        </is>
      </c>
      <c r="D36" s="4" t="inlineStr">
        <is>
          <t>Buyer / Seller</t>
        </is>
      </c>
      <c r="E36" s="4" t="inlineStr">
        <is>
          <t>Protected-Any</t>
        </is>
      </c>
      <c r="F36" s="3" t="inlineStr">
        <is>
          <t>Detects user role (isSeller: true/false) and renders appropriate BuyerDashboard or SellerDashboard component seamlessly</t>
        </is>
      </c>
      <c r="G36" s="3" t="inlineStr">
        <is>
          <t>SEL-001, BUY-011, SEC-002</t>
        </is>
      </c>
      <c r="H36" s="4" t="inlineStr">
        <is>
          <t>Planned</t>
        </is>
      </c>
      <c r="I36" s="4" t="inlineStr">
        <is>
          <t>Planned</t>
        </is>
      </c>
      <c r="J36" s="3" t="inlineStr">
        <is>
          <t>Acts as primary post-login landing route.</t>
        </is>
      </c>
    </row>
    <row r="37" ht="35" customHeight="1">
      <c r="A37" s="27" t="inlineStr">
        <is>
          <t>/dashboard/buyer</t>
        </is>
      </c>
      <c r="B37" s="6" t="inlineStr">
        <is>
          <t>Dedicated Buyer Dashboard</t>
        </is>
      </c>
      <c r="C37" s="6" t="inlineStr">
        <is>
          <t>Dashboards</t>
        </is>
      </c>
      <c r="D37" s="7" t="inlineStr">
        <is>
          <t>Buyer</t>
        </is>
      </c>
      <c r="E37" s="7" t="inlineStr">
        <is>
          <t>Protected-Buyer</t>
        </is>
      </c>
      <c r="F37" s="6" t="inlineStr">
        <is>
          <t>Recent orders, saved favorites, active project briefs, recommended service packages, spending summary</t>
        </is>
      </c>
      <c r="G37" s="6" t="inlineStr">
        <is>
          <t>BUY-014, BUY-015</t>
        </is>
      </c>
      <c r="H37" s="7" t="inlineStr">
        <is>
          <t>Planned</t>
        </is>
      </c>
      <c r="I37" s="7" t="inlineStr">
        <is>
          <t>Planned</t>
        </is>
      </c>
      <c r="J37" s="6" t="inlineStr">
        <is>
          <t>Tailored view for clients/buyers.</t>
        </is>
      </c>
    </row>
    <row r="38" ht="35" customHeight="1">
      <c r="A38" s="26" t="inlineStr">
        <is>
          <t>/dashboard/seller</t>
        </is>
      </c>
      <c r="B38" s="3" t="inlineStr">
        <is>
          <t>Dedicated Seller Dashboard</t>
        </is>
      </c>
      <c r="C38" s="3" t="inlineStr">
        <is>
          <t>Dashboards</t>
        </is>
      </c>
      <c r="D38" s="4" t="inlineStr">
        <is>
          <t>Seller</t>
        </is>
      </c>
      <c r="E38" s="4" t="inlineStr">
        <is>
          <t>Protected-Seller</t>
        </is>
      </c>
      <c r="F38" s="3" t="inlineStr">
        <is>
          <t>Active orders counter, pending earnings, response rate metric, seller level badge, recent buyer messages</t>
        </is>
      </c>
      <c r="G38" s="3" t="inlineStr">
        <is>
          <t>SEL-001, SEL-002</t>
        </is>
      </c>
      <c r="H38" s="4" t="inlineStr">
        <is>
          <t>Planned</t>
        </is>
      </c>
      <c r="I38" s="4" t="inlineStr">
        <is>
          <t>Planned</t>
        </is>
      </c>
      <c r="J38" s="3" t="inlineStr">
        <is>
          <t>Tailored operational dashboard for freelancers/sellers.</t>
        </is>
      </c>
    </row>
    <row r="39" ht="35" customHeight="1">
      <c r="A39" s="27" t="inlineStr">
        <is>
          <t>/buyer/dashboard</t>
        </is>
      </c>
      <c r="B39" s="6" t="inlineStr">
        <is>
          <t>Buyer Dashboard Alternate Route</t>
        </is>
      </c>
      <c r="C39" s="6" t="inlineStr">
        <is>
          <t>Dashboards</t>
        </is>
      </c>
      <c r="D39" s="7" t="inlineStr">
        <is>
          <t>Buyer</t>
        </is>
      </c>
      <c r="E39" s="7" t="inlineStr">
        <is>
          <t>Protected-Buyer</t>
        </is>
      </c>
      <c r="F39" s="6" t="inlineStr">
        <is>
          <t>Alias route for buyer dashboard</t>
        </is>
      </c>
      <c r="G39" s="6" t="inlineStr">
        <is>
          <t>BUY-016</t>
        </is>
      </c>
      <c r="H39" s="7" t="inlineStr">
        <is>
          <t>Planned</t>
        </is>
      </c>
      <c r="I39" s="7" t="inlineStr">
        <is>
          <t>Planned</t>
        </is>
      </c>
      <c r="J39" s="6" t="inlineStr">
        <is>
          <t>Maintained for backwards-compatible buyer navigation.</t>
        </is>
      </c>
    </row>
    <row r="40" ht="35" customHeight="1">
      <c r="A40" s="26" t="inlineStr">
        <is>
          <t>/seller/dashboard</t>
        </is>
      </c>
      <c r="B40" s="3" t="inlineStr">
        <is>
          <t>Seller Dashboard Alternate Route</t>
        </is>
      </c>
      <c r="C40" s="3" t="inlineStr">
        <is>
          <t>Dashboards</t>
        </is>
      </c>
      <c r="D40" s="4" t="inlineStr">
        <is>
          <t>Seller</t>
        </is>
      </c>
      <c r="E40" s="4" t="inlineStr">
        <is>
          <t>Protected-Seller</t>
        </is>
      </c>
      <c r="F40" s="3" t="inlineStr">
        <is>
          <t>Alias route for seller dashboard</t>
        </is>
      </c>
      <c r="G40" s="3" t="inlineStr">
        <is>
          <t>SEL-003</t>
        </is>
      </c>
      <c r="H40" s="4" t="inlineStr">
        <is>
          <t>Planned</t>
        </is>
      </c>
      <c r="I40" s="4" t="inlineStr">
        <is>
          <t>Planned</t>
        </is>
      </c>
      <c r="J40" s="3" t="inlineStr">
        <is>
          <t>Maintained for backwards-compatible seller navigation.</t>
        </is>
      </c>
    </row>
    <row r="41" ht="35" customHeight="1">
      <c r="A41" s="27" t="inlineStr">
        <is>
          <t>/profile</t>
        </is>
      </c>
      <c r="B41" s="6" t="inlineStr">
        <is>
          <t>User Profile Management</t>
        </is>
      </c>
      <c r="C41" s="6" t="inlineStr">
        <is>
          <t>User Profiles</t>
        </is>
      </c>
      <c r="D41" s="7" t="inlineStr">
        <is>
          <t>Buyer / Seller</t>
        </is>
      </c>
      <c r="E41" s="7" t="inlineStr">
        <is>
          <t>Protected-Any</t>
        </is>
      </c>
      <c r="F41" s="6" t="inlineStr">
        <is>
          <t>Profile view and edit: avatar upload, display name, bio, skills tags, languages spoken, country selection with flag, member stats</t>
        </is>
      </c>
      <c r="G41" s="6" t="inlineStr">
        <is>
          <t>PRF-001, PRF-002, PRF-003, PRF-004, PRF-005, PRF-006</t>
        </is>
      </c>
      <c r="H41" s="7" t="inlineStr">
        <is>
          <t>Planned</t>
        </is>
      </c>
      <c r="I41" s="7" t="inlineStr">
        <is>
          <t>Planned</t>
        </is>
      </c>
      <c r="J41" s="6" t="inlineStr">
        <is>
          <t>Syncs profile changes to userStore and localStorage.</t>
        </is>
      </c>
    </row>
    <row r="42" ht="35" customHeight="1">
      <c r="A42" s="26" t="inlineStr">
        <is>
          <t>/support</t>
        </is>
      </c>
      <c r="B42" s="3" t="inlineStr">
        <is>
          <t>Support Tickets Portal</t>
        </is>
      </c>
      <c r="C42" s="3" t="inlineStr">
        <is>
          <t>Support &amp; Disputes</t>
        </is>
      </c>
      <c r="D42" s="4" t="inlineStr">
        <is>
          <t>Buyer / Seller</t>
        </is>
      </c>
      <c r="E42" s="4" t="inlineStr">
        <is>
          <t>Protected-Any</t>
        </is>
      </c>
      <c r="F42" s="3" t="inlineStr">
        <is>
          <t>User's submitted support tickets list, ticket status (Open, In Progress, Resolved, Closed), 'Create New Ticket' button</t>
        </is>
      </c>
      <c r="G42" s="3" t="inlineStr">
        <is>
          <t>SUP-001, SUP-002, SUP-003</t>
        </is>
      </c>
      <c r="H42" s="4" t="inlineStr">
        <is>
          <t>Planned</t>
        </is>
      </c>
      <c r="I42" s="4" t="inlineStr">
        <is>
          <t>Planned</t>
        </is>
      </c>
      <c r="J42" s="3" t="inlineStr">
        <is>
          <t>Fetches user tickets from /api/support backend service.</t>
        </is>
      </c>
    </row>
    <row r="43" ht="35" customHeight="1">
      <c r="A43" s="27" t="inlineStr">
        <is>
          <t>/support/new</t>
        </is>
      </c>
      <c r="B43" s="6" t="inlineStr">
        <is>
          <t>Create Support Ticket</t>
        </is>
      </c>
      <c r="C43" s="6" t="inlineStr">
        <is>
          <t>Support &amp; Disputes</t>
        </is>
      </c>
      <c r="D43" s="7" t="inlineStr">
        <is>
          <t>Buyer / Seller</t>
        </is>
      </c>
      <c r="E43" s="7" t="inlineStr">
        <is>
          <t>Protected-Any</t>
        </is>
      </c>
      <c r="F43" s="6" t="inlineStr">
        <is>
          <t>Ticket form: subject, category (Order Dispute, Payment, Technical, Account), priority, description, attachment upload, submit button</t>
        </is>
      </c>
      <c r="G43" s="6" t="inlineStr">
        <is>
          <t>SUP-004, SUP-005, SUP-006, SUP-007</t>
        </is>
      </c>
      <c r="H43" s="7" t="inlineStr">
        <is>
          <t>Planned</t>
        </is>
      </c>
      <c r="I43" s="7" t="inlineStr">
        <is>
          <t>Planned</t>
        </is>
      </c>
      <c r="J43" s="6" t="inlineStr">
        <is>
          <t>Uploads attachments via supportService.ts to Cloudinary.</t>
        </is>
      </c>
    </row>
    <row r="44" ht="35" customHeight="1">
      <c r="A44" s="26" t="inlineStr">
        <is>
          <t>/support/[id]</t>
        </is>
      </c>
      <c r="B44" s="3" t="inlineStr">
        <is>
          <t>Support Ticket Discussion Thread</t>
        </is>
      </c>
      <c r="C44" s="3" t="inlineStr">
        <is>
          <t>Support &amp; Disputes</t>
        </is>
      </c>
      <c r="D44" s="4" t="inlineStr">
        <is>
          <t>Buyer / Seller</t>
        </is>
      </c>
      <c r="E44" s="4" t="inlineStr">
        <is>
          <t>Protected-Any (Owner)</t>
        </is>
      </c>
      <c r="F44" s="3" t="inlineStr">
        <is>
          <t>Ticket conversation history, real-time message replies via support socket, attachment downloads, close ticket action</t>
        </is>
      </c>
      <c r="G44" s="3" t="inlineStr">
        <is>
          <t>SUP-008, SUP-009, SUP-010, SUP-011</t>
        </is>
      </c>
      <c r="H44" s="4" t="inlineStr">
        <is>
          <t>Planned</t>
        </is>
      </c>
      <c r="I44" s="4" t="inlineStr">
        <is>
          <t>Planned</t>
        </is>
      </c>
      <c r="J44" s="3" t="inlineStr">
        <is>
          <t>Uses useSupportSocket hook for real-time ticket messaging.</t>
        </is>
      </c>
    </row>
    <row r="45" ht="35" customHeight="1">
      <c r="A45" s="27" t="inlineStr">
        <is>
          <t>/admin/dashboard</t>
        </is>
      </c>
      <c r="B45" s="6" t="inlineStr">
        <is>
          <t>Admin Platform KPI Dashboard</t>
        </is>
      </c>
      <c r="C45" s="6" t="inlineStr">
        <is>
          <t>Admin Portal</t>
        </is>
      </c>
      <c r="D45" s="7" t="inlineStr">
        <is>
          <t>Admin</t>
        </is>
      </c>
      <c r="E45" s="7" t="inlineStr">
        <is>
          <t>Protected-Admin</t>
        </is>
      </c>
      <c r="F45" s="6" t="inlineStr">
        <is>
          <t>Platform KPI metrics (Total Users, Active Gigs, Total GMV, Open Disputes, Pending Payouts), revenue trend chart (Recharts), order breakdown pie chart, pending moderation queue</t>
        </is>
      </c>
      <c r="G45" s="6" t="inlineStr">
        <is>
          <t>ADM-001, ADM-002, ADM-003, ADM-004, ADM-005, ADM-006</t>
        </is>
      </c>
      <c r="H45" s="7" t="inlineStr">
        <is>
          <t>Planned</t>
        </is>
      </c>
      <c r="I45" s="7" t="inlineStr">
        <is>
          <t>Planned</t>
        </is>
      </c>
      <c r="J45" s="6" t="inlineStr">
        <is>
          <t>Protected by strict isAdmin check in proxy.ts. Non-admins redirected to /dashboard.</t>
        </is>
      </c>
    </row>
    <row r="46" ht="35" customHeight="1">
      <c r="A46" s="26" t="inlineStr">
        <is>
          <t>/</t>
        </is>
      </c>
      <c r="B46" s="3" t="inlineStr">
        <is>
          <t>Marketplace Home Page</t>
        </is>
      </c>
      <c r="C46" s="3" t="inlineStr">
        <is>
          <t>Public Marketplace</t>
        </is>
      </c>
      <c r="D46" s="4" t="inlineStr">
        <is>
          <t>Public</t>
        </is>
      </c>
      <c r="E46" s="4" t="inlineStr">
        <is>
          <t>Public</t>
        </is>
      </c>
      <c r="F46" s="3" t="inlineStr">
        <is>
          <t>Hero search bar, popular categories slider, featured service packages carousel, value proposition cards, testimonials slider, footer links</t>
        </is>
      </c>
      <c r="G46" s="3" t="inlineStr">
        <is>
          <t>BUY-001, BUY-002, UI-001, UI-002</t>
        </is>
      </c>
      <c r="H46" s="4" t="inlineStr">
        <is>
          <t>Planned</t>
        </is>
      </c>
      <c r="I46" s="4" t="inlineStr">
        <is>
          <t>Planned</t>
        </is>
      </c>
      <c r="J46" s="3" t="inlineStr">
        <is>
          <t>Primary landing page with dynamic Swiper/Slick carousels and GSAP transitions.</t>
        </is>
      </c>
    </row>
    <row r="47" ht="35" customHeight="1">
      <c r="A47" s="27" t="inlineStr">
        <is>
          <t>/packages</t>
        </is>
      </c>
      <c r="B47" s="6" t="inlineStr">
        <is>
          <t>Service Packages Catalog</t>
        </is>
      </c>
      <c r="C47" s="6" t="inlineStr">
        <is>
          <t>Public Marketplace</t>
        </is>
      </c>
      <c r="D47" s="7" t="inlineStr">
        <is>
          <t>Public</t>
        </is>
      </c>
      <c r="E47" s="7" t="inlineStr">
        <is>
          <t>Public</t>
        </is>
      </c>
      <c r="F47" s="6" t="inlineStr">
        <is>
          <t>Browse all packages, CategoryBar slider, subcategory filters, price slider ($min - $max), delivery time filter, rating filter (4.5+), sorting (Recommended, Best Selling, Newest, Price), clear filters</t>
        </is>
      </c>
      <c r="G47" s="6" t="inlineStr">
        <is>
          <t>BUY-003, BUY-004, BUY-005, BUY-006, BUY-007, BUY-008</t>
        </is>
      </c>
      <c r="H47" s="7" t="inlineStr">
        <is>
          <t>Planned</t>
        </is>
      </c>
      <c r="I47" s="7" t="inlineStr">
        <is>
          <t>Planned</t>
        </is>
      </c>
      <c r="J47" s="6" t="inlineStr">
        <is>
          <t>Primary package discovery catalog. Uses useAdminCategories and server-side gig query caching.</t>
        </is>
      </c>
    </row>
    <row r="48" ht="35" customHeight="1">
      <c r="A48" s="26" t="inlineStr">
        <is>
          <t>/package/[id]</t>
        </is>
      </c>
      <c r="B48" s="3" t="inlineStr">
        <is>
          <t>Package Detail &amp; Tier Comparison</t>
        </is>
      </c>
      <c r="C48" s="3" t="inlineStr">
        <is>
          <t>Public Marketplace</t>
        </is>
      </c>
      <c r="D48" s="4" t="inlineStr">
        <is>
          <t>Public</t>
        </is>
      </c>
      <c r="E48" s="4" t="inlineStr">
        <is>
          <t>Public</t>
        </is>
      </c>
      <c r="F48" s="3" t="inlineStr">
        <is>
          <t>Gig title, seller summary card, media gallery slider, 3-tier comparison table (Basic, Standard, Premium), feature checkmarks, FAQs accordion, seller reviews list with star rating, 'Continue' to checkout CTA</t>
        </is>
      </c>
      <c r="G48" s="3" t="inlineStr">
        <is>
          <t>PKG-012, PKG-013, PKG-014, PKG-015, PKG-016, PKG-017, PKG-018</t>
        </is>
      </c>
      <c r="H48" s="4" t="inlineStr">
        <is>
          <t>Planned</t>
        </is>
      </c>
      <c r="I48" s="4" t="inlineStr">
        <is>
          <t>Planned</t>
        </is>
      </c>
      <c r="J48" s="3" t="inlineStr">
        <is>
          <t>Dynamic route [id]. Formats prices without NaN or undefined; connects to Stripe checkout.</t>
        </is>
      </c>
    </row>
    <row r="49" ht="35" customHeight="1">
      <c r="A49" s="27" t="inlineStr">
        <is>
          <t>/search</t>
        </is>
      </c>
      <c r="B49" s="6" t="inlineStr">
        <is>
          <t>Catalog Keyword Search Results</t>
        </is>
      </c>
      <c r="C49" s="6" t="inlineStr">
        <is>
          <t>Public Marketplace</t>
        </is>
      </c>
      <c r="D49" s="7" t="inlineStr">
        <is>
          <t>Public</t>
        </is>
      </c>
      <c r="E49" s="7" t="inlineStr">
        <is>
          <t>Public</t>
        </is>
      </c>
      <c r="F49" s="6" t="inlineStr">
        <is>
          <t>Search results grid, keyword highlighting, empty results suggested terms, facet filtering</t>
        </is>
      </c>
      <c r="G49" s="6" t="inlineStr">
        <is>
          <t>BUY-017, BUY-018</t>
        </is>
      </c>
      <c r="H49" s="7" t="inlineStr">
        <is>
          <t>Planned</t>
        </is>
      </c>
      <c r="I49" s="7" t="inlineStr">
        <is>
          <t>Planned</t>
        </is>
      </c>
      <c r="J49" s="6" t="inlineStr">
        <is>
          <t>Parses ?query= parameter and displays matching packages.</t>
        </is>
      </c>
    </row>
    <row r="50" ht="35" customHeight="1">
      <c r="A50" s="26" t="inlineStr">
        <is>
          <t>/seller</t>
        </is>
      </c>
      <c r="B50" s="3" t="inlineStr">
        <is>
          <t>Seller Hub Overview</t>
        </is>
      </c>
      <c r="C50" s="3" t="inlineStr">
        <is>
          <t>Public Marketplace</t>
        </is>
      </c>
      <c r="D50" s="4" t="inlineStr">
        <is>
          <t>Public</t>
        </is>
      </c>
      <c r="E50" s="4" t="inlineStr">
        <is>
          <t>Public</t>
        </is>
      </c>
      <c r="F50" s="3" t="inlineStr">
        <is>
          <t>Freelancing resources, benefits of selling on Workvence, top seller spotlights, onboarding guide</t>
        </is>
      </c>
      <c r="G50" s="3" t="inlineStr">
        <is>
          <t>SEL-017, SEL-018</t>
        </is>
      </c>
      <c r="H50" s="4" t="inlineStr">
        <is>
          <t>Planned</t>
        </is>
      </c>
      <c r="I50" s="4" t="inlineStr">
        <is>
          <t>Planned</t>
        </is>
      </c>
      <c r="J50" s="3" t="inlineStr">
        <is>
          <t>Public guide for prospective freelancers.</t>
        </is>
      </c>
    </row>
    <row r="51" ht="35" customHeight="1">
      <c r="A51" s="27" t="inlineStr">
        <is>
          <t>/sellers</t>
        </is>
      </c>
      <c r="B51" s="6" t="inlineStr">
        <is>
          <t>Browse All Top Sellers</t>
        </is>
      </c>
      <c r="C51" s="6" t="inlineStr">
        <is>
          <t>Public Marketplace</t>
        </is>
      </c>
      <c r="D51" s="7" t="inlineStr">
        <is>
          <t>Public</t>
        </is>
      </c>
      <c r="E51" s="7" t="inlineStr">
        <is>
          <t>Public</t>
        </is>
      </c>
      <c r="F51" s="6" t="inlineStr">
        <is>
          <t>Directory of verified freelancers, category filter, rating filter, seller card with avatar, rating, completed jobs, and starting price</t>
        </is>
      </c>
      <c r="G51" s="6" t="inlineStr">
        <is>
          <t>SEL-019, SEL-020</t>
        </is>
      </c>
      <c r="H51" s="7" t="inlineStr">
        <is>
          <t>Planned</t>
        </is>
      </c>
      <c r="I51" s="7" t="inlineStr">
        <is>
          <t>Planned</t>
        </is>
      </c>
      <c r="J51" s="6" t="inlineStr">
        <is>
          <t>Allows clients to discover talent directly by profile.</t>
        </is>
      </c>
    </row>
    <row r="52" ht="35" customHeight="1">
      <c r="A52" s="26" t="inlineStr">
        <is>
          <t>/seller/[username]</t>
        </is>
      </c>
      <c r="B52" s="3" t="inlineStr">
        <is>
          <t>Public Seller Profile</t>
        </is>
      </c>
      <c r="C52" s="3" t="inlineStr">
        <is>
          <t>Public Marketplace</t>
        </is>
      </c>
      <c r="D52" s="4" t="inlineStr">
        <is>
          <t>Public</t>
        </is>
      </c>
      <c r="E52" s="4" t="inlineStr">
        <is>
          <t>Public</t>
        </is>
      </c>
      <c r="F52" s="3" t="inlineStr">
        <is>
          <t>Seller public profile: avatar, username, bio, country flag, languages, skills tags, active packages grid, portfolio gallery, client reviews &amp; ratings, 'Contact Me' messaging CTA</t>
        </is>
      </c>
      <c r="G52" s="3" t="inlineStr">
        <is>
          <t>PRF-007, PRF-008, PRF-009, PRF-010</t>
        </is>
      </c>
      <c r="H52" s="4" t="inlineStr">
        <is>
          <t>Planned</t>
        </is>
      </c>
      <c r="I52" s="4" t="inlineStr">
        <is>
          <t>Planned</t>
        </is>
      </c>
      <c r="J52" s="3" t="inlineStr">
        <is>
          <t>Dynamic route [username]. Normalizes seller data and handles missing profile fields gracefully.</t>
        </is>
      </c>
    </row>
    <row r="53" ht="35" customHeight="1">
      <c r="A53" s="27" t="inlineStr">
        <is>
          <t>/become-a-seller</t>
        </is>
      </c>
      <c r="B53" s="6" t="inlineStr">
        <is>
          <t>Become a Seller Landing Page</t>
        </is>
      </c>
      <c r="C53" s="6" t="inlineStr">
        <is>
          <t>Public Marketplace</t>
        </is>
      </c>
      <c r="D53" s="7" t="inlineStr">
        <is>
          <t>Public</t>
        </is>
      </c>
      <c r="E53" s="7" t="inlineStr">
        <is>
          <t>Public</t>
        </is>
      </c>
      <c r="F53" s="6" t="inlineStr">
        <is>
          <t>Earning potential calculator, step-by-step onboarding walkthrough, community success stories, 'Start Selling' CTA redirecting to /register?seller=true</t>
        </is>
      </c>
      <c r="G53" s="6" t="inlineStr">
        <is>
          <t>SEL-001, AUTH-005</t>
        </is>
      </c>
      <c r="H53" s="7" t="inlineStr">
        <is>
          <t>Planned</t>
        </is>
      </c>
      <c r="I53" s="7" t="inlineStr">
        <is>
          <t>Planned</t>
        </is>
      </c>
      <c r="J53" s="6" t="inlineStr">
        <is>
          <t>High-conversion onboarding landing page.</t>
        </is>
      </c>
    </row>
    <row r="54" ht="35" customHeight="1">
      <c r="A54" s="26" t="inlineStr">
        <is>
          <t>/recommended-sellers</t>
        </is>
      </c>
      <c r="B54" s="3" t="inlineStr">
        <is>
          <t>Recommended Top Rated Sellers</t>
        </is>
      </c>
      <c r="C54" s="3" t="inlineStr">
        <is>
          <t>Public Marketplace</t>
        </is>
      </c>
      <c r="D54" s="4" t="inlineStr">
        <is>
          <t>Public</t>
        </is>
      </c>
      <c r="E54" s="4" t="inlineStr">
        <is>
          <t>Public</t>
        </is>
      </c>
      <c r="F54" s="3" t="inlineStr">
        <is>
          <t>Curated list of vetted, top-tier sellers across graphic design, software development, and digital marketing</t>
        </is>
      </c>
      <c r="G54" s="3" t="inlineStr">
        <is>
          <t>SEL-019</t>
        </is>
      </c>
      <c r="H54" s="4" t="inlineStr">
        <is>
          <t>Planned</t>
        </is>
      </c>
      <c r="I54" s="4" t="inlineStr">
        <is>
          <t>Planned</t>
        </is>
      </c>
      <c r="J54" s="3" t="inlineStr">
        <is>
          <t>Filtered seller directory showcasing highest-performing service providers.</t>
        </is>
      </c>
    </row>
    <row r="55" ht="35" customHeight="1">
      <c r="A55" s="27" t="inlineStr">
        <is>
          <t>/affiliates</t>
        </is>
      </c>
      <c r="B55" s="6" t="inlineStr">
        <is>
          <t>Affiliate Program</t>
        </is>
      </c>
      <c r="C55" s="6" t="inlineStr">
        <is>
          <t>Marketing &amp; Legal</t>
        </is>
      </c>
      <c r="D55" s="7" t="inlineStr">
        <is>
          <t>Public</t>
        </is>
      </c>
      <c r="E55" s="7" t="inlineStr">
        <is>
          <t>Public</t>
        </is>
      </c>
      <c r="F55" s="6" t="inlineStr">
        <is>
          <t>Commission tiers, cookie duration details, affiliate registration CTA, marketing banner</t>
        </is>
      </c>
      <c r="G55" s="6" t="inlineStr">
        <is>
          <t>UI-003</t>
        </is>
      </c>
      <c r="H55" s="7" t="inlineStr">
        <is>
          <t>Planned</t>
        </is>
      </c>
      <c r="I55" s="7" t="inlineStr">
        <is>
          <t>Planned</t>
        </is>
      </c>
      <c r="J55" s="6" t="inlineStr">
        <is>
          <t>Uses standard marketing banner layout.</t>
        </is>
      </c>
    </row>
    <row r="56" ht="35" customHeight="1">
      <c r="A56" s="26" t="inlineStr">
        <is>
          <t>/blog</t>
        </is>
      </c>
      <c r="B56" s="3" t="inlineStr">
        <is>
          <t>Workvence Official Blog</t>
        </is>
      </c>
      <c r="C56" s="3" t="inlineStr">
        <is>
          <t>Marketing &amp; Legal</t>
        </is>
      </c>
      <c r="D56" s="4" t="inlineStr">
        <is>
          <t>Public</t>
        </is>
      </c>
      <c r="E56" s="4" t="inlineStr">
        <is>
          <t>Public</t>
        </is>
      </c>
      <c r="F56" s="3" t="inlineStr">
        <is>
          <t>Articles list, category filters, featured articles, newsletter subscription box</t>
        </is>
      </c>
      <c r="G56" s="3" t="inlineStr">
        <is>
          <t>UI-004</t>
        </is>
      </c>
      <c r="H56" s="4" t="inlineStr">
        <is>
          <t>Planned</t>
        </is>
      </c>
      <c r="I56" s="4" t="inlineStr">
        <is>
          <t>Planned</t>
        </is>
      </c>
      <c r="J56" s="3" t="inlineStr">
        <is>
          <t>Public content marketing hub.</t>
        </is>
      </c>
    </row>
    <row r="57" ht="35" customHeight="1">
      <c r="A57" s="27" t="inlineStr">
        <is>
          <t>/business</t>
        </is>
      </c>
      <c r="B57" s="6" t="inlineStr">
        <is>
          <t>Workvence for Business &amp; Enterprise</t>
        </is>
      </c>
      <c r="C57" s="6" t="inlineStr">
        <is>
          <t>Marketing &amp; Legal</t>
        </is>
      </c>
      <c r="D57" s="7" t="inlineStr">
        <is>
          <t>Public</t>
        </is>
      </c>
      <c r="E57" s="7" t="inlineStr">
        <is>
          <t>Public</t>
        </is>
      </c>
      <c r="F57" s="6" t="inlineStr">
        <is>
          <t>Enterprise talent management features, custom billing solutions, dedicated account manager contact form</t>
        </is>
      </c>
      <c r="G57" s="6" t="inlineStr">
        <is>
          <t>UI-005</t>
        </is>
      </c>
      <c r="H57" s="7" t="inlineStr">
        <is>
          <t>Planned</t>
        </is>
      </c>
      <c r="I57" s="7" t="inlineStr">
        <is>
          <t>Planned</t>
        </is>
      </c>
      <c r="J57" s="6" t="inlineStr">
        <is>
          <t>B2B client landing page.</t>
        </is>
      </c>
    </row>
    <row r="58" ht="35" customHeight="1">
      <c r="A58" s="26" t="inlineStr">
        <is>
          <t>/careers</t>
        </is>
      </c>
      <c r="B58" s="3" t="inlineStr">
        <is>
          <t>Careers &amp; Job Openings</t>
        </is>
      </c>
      <c r="C58" s="3" t="inlineStr">
        <is>
          <t>Marketing &amp; Legal</t>
        </is>
      </c>
      <c r="D58" s="4" t="inlineStr">
        <is>
          <t>Public</t>
        </is>
      </c>
      <c r="E58" s="4" t="inlineStr">
        <is>
          <t>Public</t>
        </is>
      </c>
      <c r="F58" s="3" t="inlineStr">
        <is>
          <t>Company culture overview, team perks, list of open engineering/product positions, application links</t>
        </is>
      </c>
      <c r="G58" s="3" t="inlineStr">
        <is>
          <t>UI-006</t>
        </is>
      </c>
      <c r="H58" s="4" t="inlineStr">
        <is>
          <t>Planned</t>
        </is>
      </c>
      <c r="I58" s="4" t="inlineStr">
        <is>
          <t>Planned</t>
        </is>
      </c>
      <c r="J58" s="3" t="inlineStr">
        <is>
          <t>Careers portal.</t>
        </is>
      </c>
    </row>
    <row r="59" ht="35" customHeight="1">
      <c r="A59" s="27" t="inlineStr">
        <is>
          <t>/clearvoice</t>
        </is>
      </c>
      <c r="B59" s="6" t="inlineStr">
        <is>
          <t>ClearVoice Content Solutions</t>
        </is>
      </c>
      <c r="C59" s="6" t="inlineStr">
        <is>
          <t>Marketing &amp; Legal</t>
        </is>
      </c>
      <c r="D59" s="7" t="inlineStr">
        <is>
          <t>Public</t>
        </is>
      </c>
      <c r="E59" s="7" t="inlineStr">
        <is>
          <t>Public</t>
        </is>
      </c>
      <c r="F59" s="6" t="inlineStr">
        <is>
          <t>Content strategy solutions, copywriter showcase, managed content creation services</t>
        </is>
      </c>
      <c r="G59" s="6" t="inlineStr">
        <is>
          <t>UI-007</t>
        </is>
      </c>
      <c r="H59" s="7" t="inlineStr">
        <is>
          <t>Planned</t>
        </is>
      </c>
      <c r="I59" s="7" t="inlineStr">
        <is>
          <t>Planned</t>
        </is>
      </c>
      <c r="J59" s="6" t="inlineStr">
        <is>
          <t>Specialized content marketing page.</t>
        </is>
      </c>
    </row>
    <row r="60" ht="35" customHeight="1">
      <c r="A60" s="26" t="inlineStr">
        <is>
          <t>/community</t>
        </is>
      </c>
      <c r="B60" s="3" t="inlineStr">
        <is>
          <t>Workvence Community Hub</t>
        </is>
      </c>
      <c r="C60" s="3" t="inlineStr">
        <is>
          <t>Marketing &amp; Legal</t>
        </is>
      </c>
      <c r="D60" s="4" t="inlineStr">
        <is>
          <t>Public</t>
        </is>
      </c>
      <c r="E60" s="4" t="inlineStr">
        <is>
          <t>Public</t>
        </is>
      </c>
      <c r="F60" s="3" t="inlineStr">
        <is>
          <t>Creator spotlights, local meetup announcements, community initiatives, discussion links</t>
        </is>
      </c>
      <c r="G60" s="3" t="inlineStr">
        <is>
          <t>UI-008</t>
        </is>
      </c>
      <c r="H60" s="4" t="inlineStr">
        <is>
          <t>Planned</t>
        </is>
      </c>
      <c r="I60" s="4" t="inlineStr">
        <is>
          <t>Planned</t>
        </is>
      </c>
      <c r="J60" s="3" t="inlineStr">
        <is>
          <t>Community landing page.</t>
        </is>
      </c>
    </row>
    <row r="61" ht="35" customHeight="1">
      <c r="A61" s="27" t="inlineStr">
        <is>
          <t>/community-standards</t>
        </is>
      </c>
      <c r="B61" s="6" t="inlineStr">
        <is>
          <t>Community Standards &amp; Guidelines</t>
        </is>
      </c>
      <c r="C61" s="6" t="inlineStr">
        <is>
          <t>Marketing &amp; Legal</t>
        </is>
      </c>
      <c r="D61" s="7" t="inlineStr">
        <is>
          <t>Public</t>
        </is>
      </c>
      <c r="E61" s="7" t="inlineStr">
        <is>
          <t>Public</t>
        </is>
      </c>
      <c r="F61" s="6" t="inlineStr">
        <is>
          <t>Acceptable use policies, anti-harassment rules, intellectual property protection guidelines, violation penalties</t>
        </is>
      </c>
      <c r="G61" s="6" t="inlineStr">
        <is>
          <t>UI-009</t>
        </is>
      </c>
      <c r="H61" s="7" t="inlineStr">
        <is>
          <t>Planned</t>
        </is>
      </c>
      <c r="I61" s="7" t="inlineStr">
        <is>
          <t>Planned</t>
        </is>
      </c>
      <c r="J61" s="6" t="inlineStr">
        <is>
          <t>Compliance and safety policy document.</t>
        </is>
      </c>
    </row>
    <row r="62" ht="35" customHeight="1">
      <c r="A62" s="26" t="inlineStr">
        <is>
          <t>/events</t>
        </is>
      </c>
      <c r="B62" s="3" t="inlineStr">
        <is>
          <t>Events &amp; Webinars</t>
        </is>
      </c>
      <c r="C62" s="3" t="inlineStr">
        <is>
          <t>Marketing &amp; Legal</t>
        </is>
      </c>
      <c r="D62" s="4" t="inlineStr">
        <is>
          <t>Public</t>
        </is>
      </c>
      <c r="E62" s="4" t="inlineStr">
        <is>
          <t>Public</t>
        </is>
      </c>
      <c r="F62" s="3" t="inlineStr">
        <is>
          <t>Upcoming creator webinars, event schedule, registration buttons, past event recordings</t>
        </is>
      </c>
      <c r="G62" s="3" t="inlineStr">
        <is>
          <t>UI-010</t>
        </is>
      </c>
      <c r="H62" s="4" t="inlineStr">
        <is>
          <t>Planned</t>
        </is>
      </c>
      <c r="I62" s="4" t="inlineStr">
        <is>
          <t>Planned</t>
        </is>
      </c>
      <c r="J62" s="3" t="inlineStr">
        <is>
          <t>Marketing event portal.</t>
        </is>
      </c>
    </row>
    <row r="63" ht="35" customHeight="1">
      <c r="A63" s="27" t="inlineStr">
        <is>
          <t>/forum</t>
        </is>
      </c>
      <c r="B63" s="6" t="inlineStr">
        <is>
          <t>Creator &amp; Client Forum</t>
        </is>
      </c>
      <c r="C63" s="6" t="inlineStr">
        <is>
          <t>Marketing &amp; Legal</t>
        </is>
      </c>
      <c r="D63" s="7" t="inlineStr">
        <is>
          <t>Public</t>
        </is>
      </c>
      <c r="E63" s="7" t="inlineStr">
        <is>
          <t>Public</t>
        </is>
      </c>
      <c r="F63" s="6" t="inlineStr">
        <is>
          <t>Discussion topics, categories (Tips for Sellers, Buyer Requests, Feedback), search bar, thread previews</t>
        </is>
      </c>
      <c r="G63" s="6" t="inlineStr">
        <is>
          <t>UI-011</t>
        </is>
      </c>
      <c r="H63" s="7" t="inlineStr">
        <is>
          <t>Planned</t>
        </is>
      </c>
      <c r="I63" s="7" t="inlineStr">
        <is>
          <t>Planned</t>
        </is>
      </c>
      <c r="J63" s="6" t="inlineStr">
        <is>
          <t>Public community forum.</t>
        </is>
      </c>
    </row>
    <row r="64" ht="35" customHeight="1">
      <c r="A64" s="26" t="inlineStr">
        <is>
          <t>/get-inspired</t>
        </is>
      </c>
      <c r="B64" s="3" t="inlineStr">
        <is>
          <t>Creative Portfolio Inspiration</t>
        </is>
      </c>
      <c r="C64" s="3" t="inlineStr">
        <is>
          <t>Marketing &amp; Legal</t>
        </is>
      </c>
      <c r="D64" s="4" t="inlineStr">
        <is>
          <t>Public</t>
        </is>
      </c>
      <c r="E64" s="4" t="inlineStr">
        <is>
          <t>Public</t>
        </is>
      </c>
      <c r="F64" s="3" t="inlineStr">
        <is>
          <t>Visual gallery of projects delivered on Workvence (UI/UX, logo, 3D renders, video), creator credits</t>
        </is>
      </c>
      <c r="G64" s="3" t="inlineStr">
        <is>
          <t>UI-012</t>
        </is>
      </c>
      <c r="H64" s="4" t="inlineStr">
        <is>
          <t>Planned</t>
        </is>
      </c>
      <c r="I64" s="4" t="inlineStr">
        <is>
          <t>Planned</t>
        </is>
      </c>
      <c r="J64" s="3" t="inlineStr">
        <is>
          <t>Visual showcase portfolio page.</t>
        </is>
      </c>
    </row>
    <row r="65" ht="35" customHeight="1">
      <c r="A65" s="27" t="inlineStr">
        <is>
          <t>/guides</t>
        </is>
      </c>
      <c r="B65" s="6" t="inlineStr">
        <is>
          <t>Freelance &amp; Client Guides</t>
        </is>
      </c>
      <c r="C65" s="6" t="inlineStr">
        <is>
          <t>Marketing &amp; Legal</t>
        </is>
      </c>
      <c r="D65" s="7" t="inlineStr">
        <is>
          <t>Public</t>
        </is>
      </c>
      <c r="E65" s="7" t="inlineStr">
        <is>
          <t>Public</t>
        </is>
      </c>
      <c r="F65" s="6" t="inlineStr">
        <is>
          <t>Practical guides on hiring, scoping projects, delivering work on time, pricing services</t>
        </is>
      </c>
      <c r="G65" s="6" t="inlineStr">
        <is>
          <t>UI-013</t>
        </is>
      </c>
      <c r="H65" s="7" t="inlineStr">
        <is>
          <t>Planned</t>
        </is>
      </c>
      <c r="I65" s="7" t="inlineStr">
        <is>
          <t>Planned</t>
        </is>
      </c>
      <c r="J65" s="6" t="inlineStr">
        <is>
          <t>Educational guide repository.</t>
        </is>
      </c>
    </row>
    <row r="66" ht="35" customHeight="1">
      <c r="A66" s="26" t="inlineStr">
        <is>
          <t>/help-center</t>
        </is>
      </c>
      <c r="B66" s="3" t="inlineStr">
        <is>
          <t>Help &amp; Knowledge Base</t>
        </is>
      </c>
      <c r="C66" s="3" t="inlineStr">
        <is>
          <t>Marketing &amp; Legal</t>
        </is>
      </c>
      <c r="D66" s="4" t="inlineStr">
        <is>
          <t>Public</t>
        </is>
      </c>
      <c r="E66" s="4" t="inlineStr">
        <is>
          <t>Public</t>
        </is>
      </c>
      <c r="F66" s="3" t="inlineStr">
        <is>
          <t>Searchable knowledge base, FAQs for buyers and sellers, category cards (Billing, Account, Orders), 'Contact Support' CTA</t>
        </is>
      </c>
      <c r="G66" s="3" t="inlineStr">
        <is>
          <t>SUP-012, SUP-013</t>
        </is>
      </c>
      <c r="H66" s="4" t="inlineStr">
        <is>
          <t>Planned</t>
        </is>
      </c>
      <c r="I66" s="4" t="inlineStr">
        <is>
          <t>Planned</t>
        </is>
      </c>
      <c r="J66" s="3" t="inlineStr">
        <is>
          <t>Serves as the reference banner design standard.</t>
        </is>
      </c>
    </row>
    <row r="67" ht="35" customHeight="1">
      <c r="A67" s="27" t="inlineStr">
        <is>
          <t>/how-escrow-works</t>
        </is>
      </c>
      <c r="B67" s="6" t="inlineStr">
        <is>
          <t>How Escrow Works</t>
        </is>
      </c>
      <c r="C67" s="6" t="inlineStr">
        <is>
          <t>Marketing &amp; Legal</t>
        </is>
      </c>
      <c r="D67" s="7" t="inlineStr">
        <is>
          <t>Public</t>
        </is>
      </c>
      <c r="E67" s="7" t="inlineStr">
        <is>
          <t>Public</t>
        </is>
      </c>
      <c r="F67" s="6" t="inlineStr">
        <is>
          <t>Step-by-step breakdown of buyer payment holding, milestone approval, automatic release upon delivery, dispute mediation</t>
        </is>
      </c>
      <c r="G67" s="6" t="inlineStr">
        <is>
          <t>ORD-019, ORD-020</t>
        </is>
      </c>
      <c r="H67" s="7" t="inlineStr">
        <is>
          <t>Planned</t>
        </is>
      </c>
      <c r="I67" s="7" t="inlineStr">
        <is>
          <t>Planned</t>
        </is>
      </c>
      <c r="J67" s="6" t="inlineStr">
        <is>
          <t>Explains platform escrow security.</t>
        </is>
      </c>
    </row>
    <row r="68" ht="35" customHeight="1">
      <c r="A68" s="26" t="inlineStr">
        <is>
          <t>/how-to-buy</t>
        </is>
      </c>
      <c r="B68" s="3" t="inlineStr">
        <is>
          <t>How to Buy Guide</t>
        </is>
      </c>
      <c r="C68" s="3" t="inlineStr">
        <is>
          <t>Marketing &amp; Legal</t>
        </is>
      </c>
      <c r="D68" s="4" t="inlineStr">
        <is>
          <t>Public</t>
        </is>
      </c>
      <c r="E68" s="4" t="inlineStr">
        <is>
          <t>Public</t>
        </is>
      </c>
      <c r="F68" s="3" t="inlineStr">
        <is>
          <t>Guide for new clients: finding a package, placing an order, communicating requirements, reviewing delivery</t>
        </is>
      </c>
      <c r="G68" s="3" t="inlineStr">
        <is>
          <t>BUY-019</t>
        </is>
      </c>
      <c r="H68" s="4" t="inlineStr">
        <is>
          <t>Planned</t>
        </is>
      </c>
      <c r="I68" s="4" t="inlineStr">
        <is>
          <t>Planned</t>
        </is>
      </c>
      <c r="J68" s="3" t="inlineStr">
        <is>
          <t>Client onboarding guide.</t>
        </is>
      </c>
    </row>
    <row r="69" ht="35" customHeight="1">
      <c r="A69" s="27" t="inlineStr">
        <is>
          <t>/how-to-sell</t>
        </is>
      </c>
      <c r="B69" s="6" t="inlineStr">
        <is>
          <t>How to Sell Guide</t>
        </is>
      </c>
      <c r="C69" s="6" t="inlineStr">
        <is>
          <t>Marketing &amp; Legal</t>
        </is>
      </c>
      <c r="D69" s="7" t="inlineStr">
        <is>
          <t>Public</t>
        </is>
      </c>
      <c r="E69" s="7" t="inlineStr">
        <is>
          <t>Public</t>
        </is>
      </c>
      <c r="F69" s="6" t="inlineStr">
        <is>
          <t>Guide for freelancers: creating gig tiers, setting competitive pricing, maintaining response times, withdrawing earnings</t>
        </is>
      </c>
      <c r="G69" s="6" t="inlineStr">
        <is>
          <t>SEL-017</t>
        </is>
      </c>
      <c r="H69" s="7" t="inlineStr">
        <is>
          <t>Planned</t>
        </is>
      </c>
      <c r="I69" s="7" t="inlineStr">
        <is>
          <t>Planned</t>
        </is>
      </c>
      <c r="J69" s="6" t="inlineStr">
        <is>
          <t>Freelancer onboarding guide.</t>
        </is>
      </c>
    </row>
    <row r="70" ht="35" customHeight="1">
      <c r="A70" s="26" t="inlineStr">
        <is>
          <t>/influencers</t>
        </is>
      </c>
      <c r="B70" s="3" t="inlineStr">
        <is>
          <t>Influencer &amp; Creator Program</t>
        </is>
      </c>
      <c r="C70" s="3" t="inlineStr">
        <is>
          <t>Marketing &amp; Legal</t>
        </is>
      </c>
      <c r="D70" s="4" t="inlineStr">
        <is>
          <t>Public</t>
        </is>
      </c>
      <c r="E70" s="4" t="inlineStr">
        <is>
          <t>Public</t>
        </is>
      </c>
      <c r="F70" s="3" t="inlineStr">
        <is>
          <t>Creator partnership benefits, sponsorship application form, brand asset downloads</t>
        </is>
      </c>
      <c r="G70" s="3" t="inlineStr">
        <is>
          <t>UI-014</t>
        </is>
      </c>
      <c r="H70" s="4" t="inlineStr">
        <is>
          <t>Planned</t>
        </is>
      </c>
      <c r="I70" s="4" t="inlineStr">
        <is>
          <t>Planned</t>
        </is>
      </c>
      <c r="J70" s="3" t="inlineStr">
        <is>
          <t>Influencer partnership portal.</t>
        </is>
      </c>
    </row>
    <row r="71" ht="35" customHeight="1">
      <c r="A71" s="27" t="inlineStr">
        <is>
          <t>/intellectual-property</t>
        </is>
      </c>
      <c r="B71" s="6" t="inlineStr">
        <is>
          <t>Intellectual Property Policy</t>
        </is>
      </c>
      <c r="C71" s="6" t="inlineStr">
        <is>
          <t>Marketing &amp; Legal</t>
        </is>
      </c>
      <c r="D71" s="7" t="inlineStr">
        <is>
          <t>Public</t>
        </is>
      </c>
      <c r="E71" s="7" t="inlineStr">
        <is>
          <t>Public</t>
        </is>
      </c>
      <c r="F71" s="6" t="inlineStr">
        <is>
          <t>Copyright ownership rules, DMCA takedown notice procedure, trademark protection terms</t>
        </is>
      </c>
      <c r="G71" s="6" t="inlineStr">
        <is>
          <t>UI-015</t>
        </is>
      </c>
      <c r="H71" s="7" t="inlineStr">
        <is>
          <t>Planned</t>
        </is>
      </c>
      <c r="I71" s="7" t="inlineStr">
        <is>
          <t>Planned</t>
        </is>
      </c>
      <c r="J71" s="6" t="inlineStr">
        <is>
          <t>Legal IP terms.</t>
        </is>
      </c>
    </row>
    <row r="72" ht="35" customHeight="1">
      <c r="A72" s="26" t="inlineStr">
        <is>
          <t>/investor-relations</t>
        </is>
      </c>
      <c r="B72" s="3" t="inlineStr">
        <is>
          <t>Investor Relations</t>
        </is>
      </c>
      <c r="C72" s="3" t="inlineStr">
        <is>
          <t>Marketing &amp; Legal</t>
        </is>
      </c>
      <c r="D72" s="4" t="inlineStr">
        <is>
          <t>Public</t>
        </is>
      </c>
      <c r="E72" s="4" t="inlineStr">
        <is>
          <t>Public</t>
        </is>
      </c>
      <c r="F72" s="3" t="inlineStr">
        <is>
          <t>Company financial metrics, investor presentations, leadership bios, contact press/investors</t>
        </is>
      </c>
      <c r="G72" s="3" t="inlineStr">
        <is>
          <t>UI-016</t>
        </is>
      </c>
      <c r="H72" s="4" t="inlineStr">
        <is>
          <t>Planned</t>
        </is>
      </c>
      <c r="I72" s="4" t="inlineStr">
        <is>
          <t>Planned</t>
        </is>
      </c>
      <c r="J72" s="3" t="inlineStr">
        <is>
          <t>Corporate investor information.</t>
        </is>
      </c>
    </row>
    <row r="73" ht="35" customHeight="1">
      <c r="A73" s="27" t="inlineStr">
        <is>
          <t>/invite</t>
        </is>
      </c>
      <c r="B73" s="6" t="inlineStr">
        <is>
          <t>Invite Friends &amp; Referral Program</t>
        </is>
      </c>
      <c r="C73" s="6" t="inlineStr">
        <is>
          <t>Marketing &amp; Legal</t>
        </is>
      </c>
      <c r="D73" s="7" t="inlineStr">
        <is>
          <t>Public / User</t>
        </is>
      </c>
      <c r="E73" s="7" t="inlineStr">
        <is>
          <t>Public</t>
        </is>
      </c>
      <c r="F73" s="6" t="inlineStr">
        <is>
          <t>Referral link generator, share to social channels, referral reward credits balance</t>
        </is>
      </c>
      <c r="G73" s="6" t="inlineStr">
        <is>
          <t>UI-014</t>
        </is>
      </c>
      <c r="H73" s="7" t="inlineStr">
        <is>
          <t>Planned</t>
        </is>
      </c>
      <c r="I73" s="7" t="inlineStr">
        <is>
          <t>Planned</t>
        </is>
      </c>
      <c r="J73" s="6" t="inlineStr">
        <is>
          <t>Referral program page.</t>
        </is>
      </c>
    </row>
    <row r="74" ht="35" customHeight="1">
      <c r="A74" s="26" t="inlineStr">
        <is>
          <t>/learn</t>
        </is>
      </c>
      <c r="B74" s="3" t="inlineStr">
        <is>
          <t>Workvence Learn Courses</t>
        </is>
      </c>
      <c r="C74" s="3" t="inlineStr">
        <is>
          <t>Marketing &amp; Legal</t>
        </is>
      </c>
      <c r="D74" s="4" t="inlineStr">
        <is>
          <t>Public</t>
        </is>
      </c>
      <c r="E74" s="4" t="inlineStr">
        <is>
          <t>Public</t>
        </is>
      </c>
      <c r="F74" s="3" t="inlineStr">
        <is>
          <t>Online courses for freelancers to upskill (Design, Development, Copywriting, Marketing), instructor profiles</t>
        </is>
      </c>
      <c r="G74" s="3" t="inlineStr">
        <is>
          <t>UI-013</t>
        </is>
      </c>
      <c r="H74" s="4" t="inlineStr">
        <is>
          <t>Planned</t>
        </is>
      </c>
      <c r="I74" s="4" t="inlineStr">
        <is>
          <t>Planned</t>
        </is>
      </c>
      <c r="J74" s="3" t="inlineStr">
        <is>
          <t>Educational course catalog.</t>
        </is>
      </c>
    </row>
    <row r="75" ht="35" customHeight="1">
      <c r="A75" s="27" t="inlineStr">
        <is>
          <t>/logo-maker</t>
        </is>
      </c>
      <c r="B75" s="6" t="inlineStr">
        <is>
          <t>Workvence Logo Maker</t>
        </is>
      </c>
      <c r="C75" s="6" t="inlineStr">
        <is>
          <t>Marketing &amp; Legal</t>
        </is>
      </c>
      <c r="D75" s="7" t="inlineStr">
        <is>
          <t>Public</t>
        </is>
      </c>
      <c r="E75" s="7" t="inlineStr">
        <is>
          <t>Public</t>
        </is>
      </c>
      <c r="F75" s="6" t="inlineStr">
        <is>
          <t>Interactive AI logo generation tool, customize typography, download vector logo packages</t>
        </is>
      </c>
      <c r="G75" s="6" t="inlineStr">
        <is>
          <t>UI-012</t>
        </is>
      </c>
      <c r="H75" s="7" t="inlineStr">
        <is>
          <t>Planned</t>
        </is>
      </c>
      <c r="I75" s="7" t="inlineStr">
        <is>
          <t>Planned</t>
        </is>
      </c>
      <c r="J75" s="6" t="inlineStr">
        <is>
          <t>Creative design tooling.</t>
        </is>
      </c>
    </row>
    <row r="76" ht="35" customHeight="1">
      <c r="A76" s="26" t="inlineStr">
        <is>
          <t>/partnerships</t>
        </is>
      </c>
      <c r="B76" s="3" t="inlineStr">
        <is>
          <t>Strategic Partnerships</t>
        </is>
      </c>
      <c r="C76" s="3" t="inlineStr">
        <is>
          <t>Marketing &amp; Legal</t>
        </is>
      </c>
      <c r="D76" s="4" t="inlineStr">
        <is>
          <t>Public</t>
        </is>
      </c>
      <c r="E76" s="4" t="inlineStr">
        <is>
          <t>Public</t>
        </is>
      </c>
      <c r="F76" s="3" t="inlineStr">
        <is>
          <t>Partnership tiers, technology partner integrations, enterprise alliance application</t>
        </is>
      </c>
      <c r="G76" s="3" t="inlineStr">
        <is>
          <t>UI-014</t>
        </is>
      </c>
      <c r="H76" s="4" t="inlineStr">
        <is>
          <t>Planned</t>
        </is>
      </c>
      <c r="I76" s="4" t="inlineStr">
        <is>
          <t>Planned</t>
        </is>
      </c>
      <c r="J76" s="3" t="inlineStr">
        <is>
          <t>Standardized marketing banner implementation.</t>
        </is>
      </c>
    </row>
    <row r="77" ht="35" customHeight="1">
      <c r="A77" s="27" t="inlineStr">
        <is>
          <t>/podcast</t>
        </is>
      </c>
      <c r="B77" s="6" t="inlineStr">
        <is>
          <t>Workvence Creator Podcast</t>
        </is>
      </c>
      <c r="C77" s="6" t="inlineStr">
        <is>
          <t>Marketing &amp; Legal</t>
        </is>
      </c>
      <c r="D77" s="7" t="inlineStr">
        <is>
          <t>Public</t>
        </is>
      </c>
      <c r="E77" s="7" t="inlineStr">
        <is>
          <t>Public</t>
        </is>
      </c>
      <c r="F77" s="6" t="inlineStr">
        <is>
          <t>Episode player, interview summaries with top earners, Spotify/Apple Podcasts subscription links</t>
        </is>
      </c>
      <c r="G77" s="6" t="inlineStr">
        <is>
          <t>UI-010</t>
        </is>
      </c>
      <c r="H77" s="7" t="inlineStr">
        <is>
          <t>Planned</t>
        </is>
      </c>
      <c r="I77" s="7" t="inlineStr">
        <is>
          <t>Planned</t>
        </is>
      </c>
      <c r="J77" s="6" t="inlineStr">
        <is>
          <t>Audio content hub.</t>
        </is>
      </c>
    </row>
    <row r="78" ht="35" customHeight="1">
      <c r="A78" s="26" t="inlineStr">
        <is>
          <t>/press</t>
        </is>
      </c>
      <c r="B78" s="3" t="inlineStr">
        <is>
          <t>Press &amp; Media Kit</t>
        </is>
      </c>
      <c r="C78" s="3" t="inlineStr">
        <is>
          <t>Marketing &amp; Legal</t>
        </is>
      </c>
      <c r="D78" s="4" t="inlineStr">
        <is>
          <t>Public</t>
        </is>
      </c>
      <c r="E78" s="4" t="inlineStr">
        <is>
          <t>Public</t>
        </is>
      </c>
      <c r="F78" s="3" t="inlineStr">
        <is>
          <t>Official press releases, media coverage, downloadable logo kit, brand color codes, press contact</t>
        </is>
      </c>
      <c r="G78" s="3" t="inlineStr">
        <is>
          <t>UI-016</t>
        </is>
      </c>
      <c r="H78" s="4" t="inlineStr">
        <is>
          <t>Planned</t>
        </is>
      </c>
      <c r="I78" s="4" t="inlineStr">
        <is>
          <t>Planned</t>
        </is>
      </c>
      <c r="J78" s="3" t="inlineStr">
        <is>
          <t>Press kit repository.</t>
        </is>
      </c>
    </row>
    <row r="79" ht="35" customHeight="1">
      <c r="A79" s="27" t="inlineStr">
        <is>
          <t>/privacy</t>
        </is>
      </c>
      <c r="B79" s="6" t="inlineStr">
        <is>
          <t>Privacy Policy</t>
        </is>
      </c>
      <c r="C79" s="6" t="inlineStr">
        <is>
          <t>Marketing &amp; Legal</t>
        </is>
      </c>
      <c r="D79" s="7" t="inlineStr">
        <is>
          <t>Public</t>
        </is>
      </c>
      <c r="E79" s="7" t="inlineStr">
        <is>
          <t>Public</t>
        </is>
      </c>
      <c r="F79" s="6" t="inlineStr">
        <is>
          <t>Data collection, GDPR compliance, cookie policy, user data deletion request procedure</t>
        </is>
      </c>
      <c r="G79" s="6" t="inlineStr">
        <is>
          <t>SEC-015</t>
        </is>
      </c>
      <c r="H79" s="7" t="inlineStr">
        <is>
          <t>Planned</t>
        </is>
      </c>
      <c r="I79" s="7" t="inlineStr">
        <is>
          <t>Planned</t>
        </is>
      </c>
      <c r="J79" s="6" t="inlineStr">
        <is>
          <t>Wraps useSearchParams in Suspense boundary for Next.js SSR compliance.</t>
        </is>
      </c>
    </row>
    <row r="80" ht="35" customHeight="1">
      <c r="A80" s="26" t="inlineStr">
        <is>
          <t>/pro</t>
        </is>
      </c>
      <c r="B80" s="3" t="inlineStr">
        <is>
          <t>Workvence Pro Certified Talent</t>
        </is>
      </c>
      <c r="C80" s="3" t="inlineStr">
        <is>
          <t>Marketing &amp; Legal</t>
        </is>
      </c>
      <c r="D80" s="4" t="inlineStr">
        <is>
          <t>Public</t>
        </is>
      </c>
      <c r="E80" s="4" t="inlineStr">
        <is>
          <t>Public</t>
        </is>
      </c>
      <c r="F80" s="3" t="inlineStr">
        <is>
          <t>Vetted high-end freelancer roster, portfolio audits, premium enterprise service offerings</t>
        </is>
      </c>
      <c r="G80" s="3" t="inlineStr">
        <is>
          <t>SEL-019</t>
        </is>
      </c>
      <c r="H80" s="4" t="inlineStr">
        <is>
          <t>Planned</t>
        </is>
      </c>
      <c r="I80" s="4" t="inlineStr">
        <is>
          <t>Planned</t>
        </is>
      </c>
      <c r="J80" s="3" t="inlineStr">
        <is>
          <t>Pro marketplace tier.</t>
        </is>
      </c>
    </row>
    <row r="81" ht="35" customHeight="1">
      <c r="A81" s="27" t="inlineStr">
        <is>
          <t>/select</t>
        </is>
      </c>
      <c r="B81" s="6" t="inlineStr">
        <is>
          <t>Workvence Select Handpicked Services</t>
        </is>
      </c>
      <c r="C81" s="6" t="inlineStr">
        <is>
          <t>Marketing &amp; Legal</t>
        </is>
      </c>
      <c r="D81" s="7" t="inlineStr">
        <is>
          <t>Public</t>
        </is>
      </c>
      <c r="E81" s="7" t="inlineStr">
        <is>
          <t>Public</t>
        </is>
      </c>
      <c r="F81" s="6" t="inlineStr">
        <is>
          <t>Curated selection of top-performing gig offerings with guaranteed delivery SLAs</t>
        </is>
      </c>
      <c r="G81" s="6" t="inlineStr">
        <is>
          <t>BUY-020</t>
        </is>
      </c>
      <c r="H81" s="7" t="inlineStr">
        <is>
          <t>Planned</t>
        </is>
      </c>
      <c r="I81" s="7" t="inlineStr">
        <is>
          <t>Planned</t>
        </is>
      </c>
      <c r="J81" s="6" t="inlineStr">
        <is>
          <t>Select service tier.</t>
        </is>
      </c>
    </row>
    <row r="82" ht="35" customHeight="1">
      <c r="A82" s="26" t="inlineStr">
        <is>
          <t>/success-stories</t>
        </is>
      </c>
      <c r="B82" s="3" t="inlineStr">
        <is>
          <t>Customer Success Stories</t>
        </is>
      </c>
      <c r="C82" s="3" t="inlineStr">
        <is>
          <t>Marketing &amp; Legal</t>
        </is>
      </c>
      <c r="D82" s="4" t="inlineStr">
        <is>
          <t>Public</t>
        </is>
      </c>
      <c r="E82" s="4" t="inlineStr">
        <is>
          <t>Public</t>
        </is>
      </c>
      <c r="F82" s="3" t="inlineStr">
        <is>
          <t>In-depth case studies of businesses scaling with Workvence freelancers, video testimonials</t>
        </is>
      </c>
      <c r="G82" s="3" t="inlineStr">
        <is>
          <t>UI-012</t>
        </is>
      </c>
      <c r="H82" s="4" t="inlineStr">
        <is>
          <t>Planned</t>
        </is>
      </c>
      <c r="I82" s="4" t="inlineStr">
        <is>
          <t>Planned</t>
        </is>
      </c>
      <c r="J82" s="3" t="inlineStr">
        <is>
          <t>Social proof and case studies.</t>
        </is>
      </c>
    </row>
    <row r="83" ht="35" customHeight="1">
      <c r="A83" s="27" t="inlineStr">
        <is>
          <t>/terms</t>
        </is>
      </c>
      <c r="B83" s="6" t="inlineStr">
        <is>
          <t>Terms of Service</t>
        </is>
      </c>
      <c r="C83" s="6" t="inlineStr">
        <is>
          <t>Marketing &amp; Legal</t>
        </is>
      </c>
      <c r="D83" s="7" t="inlineStr">
        <is>
          <t>Public</t>
        </is>
      </c>
      <c r="E83" s="7" t="inlineStr">
        <is>
          <t>Public</t>
        </is>
      </c>
      <c r="F83" s="6" t="inlineStr">
        <is>
          <t>User agreement, dispute arbitration, payment terms, cancellation policy, liability limits</t>
        </is>
      </c>
      <c r="G83" s="6" t="inlineStr">
        <is>
          <t>SEC-015</t>
        </is>
      </c>
      <c r="H83" s="7" t="inlineStr">
        <is>
          <t>Planned</t>
        </is>
      </c>
      <c r="I83" s="7" t="inlineStr">
        <is>
          <t>Planned</t>
        </is>
      </c>
      <c r="J83" s="6" t="inlineStr">
        <is>
          <t>Legal platform terms.</t>
        </is>
      </c>
    </row>
    <row r="84" ht="35" customHeight="1">
      <c r="A84" s="26" t="inlineStr">
        <is>
          <t>/trust-safety</t>
        </is>
      </c>
      <c r="B84" s="3" t="inlineStr">
        <is>
          <t>Trust, Security &amp; Safety Center</t>
        </is>
      </c>
      <c r="C84" s="3" t="inlineStr">
        <is>
          <t>Marketing &amp; Legal</t>
        </is>
      </c>
      <c r="D84" s="4" t="inlineStr">
        <is>
          <t>Public</t>
        </is>
      </c>
      <c r="E84" s="4" t="inlineStr">
        <is>
          <t>Public</t>
        </is>
      </c>
      <c r="F84" s="3" t="inlineStr">
        <is>
          <t>Identity verification protocols, escrow fraud protection, report scam form, account security tips</t>
        </is>
      </c>
      <c r="G84" s="3" t="inlineStr">
        <is>
          <t>SEC-014</t>
        </is>
      </c>
      <c r="H84" s="4" t="inlineStr">
        <is>
          <t>Planned</t>
        </is>
      </c>
      <c r="I84" s="4" t="inlineStr">
        <is>
          <t>Planned</t>
        </is>
      </c>
      <c r="J84" s="3" t="inlineStr">
        <is>
          <t>Security and platform trust portal.</t>
        </is>
      </c>
    </row>
    <row r="85" ht="35" customHeight="1">
      <c r="A85" s="27" t="inlineStr">
        <is>
          <t>/working-not-working</t>
        </is>
      </c>
      <c r="B85" s="6" t="inlineStr">
        <is>
          <t>Freelancer Availability Network</t>
        </is>
      </c>
      <c r="C85" s="6" t="inlineStr">
        <is>
          <t>Marketing &amp; Legal</t>
        </is>
      </c>
      <c r="D85" s="7" t="inlineStr">
        <is>
          <t>Public</t>
        </is>
      </c>
      <c r="E85" s="7" t="inlineStr">
        <is>
          <t>Public</t>
        </is>
      </c>
      <c r="F85" s="6" t="inlineStr">
        <is>
          <t>Live availability status of creative talent (Working / Available for Work), instant hire CTA</t>
        </is>
      </c>
      <c r="G85" s="6" t="inlineStr">
        <is>
          <t>UI-011</t>
        </is>
      </c>
      <c r="H85" s="7" t="inlineStr">
        <is>
          <t>Planned</t>
        </is>
      </c>
      <c r="I85" s="7" t="inlineStr">
        <is>
          <t>Planned</t>
        </is>
      </c>
      <c r="J85" s="6" t="inlineStr">
        <is>
          <t>Creative availability network.</t>
        </is>
      </c>
    </row>
    <row r="86" ht="35" customHeight="1">
      <c r="A86" s="26" t="inlineStr">
        <is>
          <t>/workspace</t>
        </is>
      </c>
      <c r="B86" s="3" t="inlineStr">
        <is>
          <t>Freelance Workspace Tooling</t>
        </is>
      </c>
      <c r="C86" s="3" t="inlineStr">
        <is>
          <t>Marketing &amp; Legal</t>
        </is>
      </c>
      <c r="D86" s="4" t="inlineStr">
        <is>
          <t>Public</t>
        </is>
      </c>
      <c r="E86" s="4" t="inlineStr">
        <is>
          <t>Public</t>
        </is>
      </c>
      <c r="F86" s="3" t="inlineStr">
        <is>
          <t>Invoicing tools, contract generator, time tracker, client collaboration portal features</t>
        </is>
      </c>
      <c r="G86" s="3" t="inlineStr">
        <is>
          <t>UI-007</t>
        </is>
      </c>
      <c r="H86" s="4" t="inlineStr">
        <is>
          <t>Planned</t>
        </is>
      </c>
      <c r="I86" s="4" t="inlineStr">
        <is>
          <t>Planned</t>
        </is>
      </c>
      <c r="J86" s="3" t="inlineStr">
        <is>
          <t>Freelancer productivity workspace tools.</t>
        </is>
      </c>
    </row>
  </sheetData>
  <autoFilter ref="A3:J86"/>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showGridLines="1" workbookViewId="0">
      <pane ySplit="3" topLeftCell="A4" activePane="bottomLeft" state="frozen"/>
      <selection pane="bottomLeft" activeCell="A1" sqref="A1"/>
    </sheetView>
  </sheetViews>
  <sheetFormatPr baseColWidth="8" defaultRowHeight="15"/>
  <cols>
    <col width="16" customWidth="1" min="1" max="1"/>
    <col width="22" customWidth="1" min="2" max="2"/>
    <col width="28" customWidth="1" min="3" max="3"/>
    <col width="14" customWidth="1" min="4" max="4"/>
    <col width="45" customWidth="1" min="5" max="5"/>
    <col width="32" customWidth="1" min="6" max="6"/>
    <col width="32" customWidth="1" min="7" max="7"/>
    <col width="26" customWidth="1" min="8" max="8"/>
    <col width="35" customWidth="1" min="9" max="9"/>
  </cols>
  <sheetData>
    <row r="1" ht="36" customHeight="1">
      <c r="A1" s="8" t="inlineStr">
        <is>
          <t>WORKVENCE TEST DATA REPOSITORY (SAFE NON-PRODUCTION PLACEHOLDERS)</t>
        </is>
      </c>
    </row>
    <row r="3" ht="26" customHeight="1">
      <c r="A3" s="1" t="inlineStr">
        <is>
          <t>Data ID</t>
        </is>
      </c>
      <c r="B3" s="1" t="inlineStr">
        <is>
          <t>Module</t>
        </is>
      </c>
      <c r="C3" s="1" t="inlineStr">
        <is>
          <t>Data Description</t>
        </is>
      </c>
      <c r="D3" s="1" t="inlineStr">
        <is>
          <t>Required Role</t>
        </is>
      </c>
      <c r="E3" s="1" t="inlineStr">
        <is>
          <t>Example / Test Value</t>
        </is>
      </c>
      <c r="F3" s="1" t="inlineStr">
        <is>
          <t>Setup Instructions</t>
        </is>
      </c>
      <c r="G3" s="1" t="inlineStr">
        <is>
          <t>Cleanup Instructions</t>
        </is>
      </c>
      <c r="H3" s="1" t="inlineStr">
        <is>
          <t>Related Test Case IDs</t>
        </is>
      </c>
      <c r="I3" s="1" t="inlineStr">
        <is>
          <t>Security &amp; Data Notes</t>
        </is>
      </c>
    </row>
    <row r="4" ht="45" customHeight="1">
      <c r="A4" s="2" t="inlineStr">
        <is>
          <t>DATA-AUTH-01</t>
        </is>
      </c>
      <c r="B4" s="3" t="inlineStr">
        <is>
          <t>Authentication</t>
        </is>
      </c>
      <c r="C4" s="3" t="inlineStr">
        <is>
          <t>Standard Verified Buyer Account</t>
        </is>
      </c>
      <c r="D4" s="4" t="inlineStr">
        <is>
          <t>Buyer</t>
        </is>
      </c>
      <c r="E4" s="20" t="inlineStr">
        <is>
          <t>Username: 'qa_buyer_test' | Email: 'buyer.qa@workvence.test' | Password: '[PLACEHOLDER_SECURE_PASS_01]'</t>
        </is>
      </c>
      <c r="F4" s="3" t="inlineStr">
        <is>
          <t>Create via /register or seed script. Ensure email is marked verified.</t>
        </is>
      </c>
      <c r="G4" s="3" t="inlineStr">
        <is>
          <t>Retain for continuous regression testing; reset active orders periodically.</t>
        </is>
      </c>
      <c r="H4" s="3" t="inlineStr">
        <is>
          <t>AUTH-001, BUY-001..BUY-020, PAY-001..PAY-015</t>
        </is>
      </c>
      <c r="I4" s="3" t="inlineStr">
        <is>
          <t>Must have isSeller: false in userStore and cookies.</t>
        </is>
      </c>
    </row>
    <row r="5" ht="45" customHeight="1">
      <c r="A5" s="5" t="inlineStr">
        <is>
          <t>DATA-AUTH-02</t>
        </is>
      </c>
      <c r="B5" s="6" t="inlineStr">
        <is>
          <t>Authentication</t>
        </is>
      </c>
      <c r="C5" s="6" t="inlineStr">
        <is>
          <t>Standard Verified Seller Account</t>
        </is>
      </c>
      <c r="D5" s="7" t="inlineStr">
        <is>
          <t>Seller</t>
        </is>
      </c>
      <c r="E5" s="25" t="inlineStr">
        <is>
          <t>Username: 'qa_seller_pro' | Email: 'seller.qa@workvence.test' | Password: '[PLACEHOLDER_SECURE_PASS_02]'</t>
        </is>
      </c>
      <c r="F5" s="6" t="inlineStr">
        <is>
          <t>Create via /register?seller=true or upgrade role. Ensure KYC status is Approved.</t>
        </is>
      </c>
      <c r="G5" s="6" t="inlineStr">
        <is>
          <t>Retain for continuous regression testing; clean draft packages.</t>
        </is>
      </c>
      <c r="H5" s="6" t="inlineStr">
        <is>
          <t>AUTH-001, SEL-001..SEL-020, PKG-001..PKG-022, ORD-005..ORD-016</t>
        </is>
      </c>
      <c r="I5" s="6" t="inlineStr">
        <is>
          <t>Must have isSeller: true in userStore and cookies.</t>
        </is>
      </c>
    </row>
    <row r="6" ht="45" customHeight="1">
      <c r="A6" s="2" t="inlineStr">
        <is>
          <t>DATA-AUTH-03</t>
        </is>
      </c>
      <c r="B6" s="3" t="inlineStr">
        <is>
          <t>Authentication</t>
        </is>
      </c>
      <c r="C6" s="3" t="inlineStr">
        <is>
          <t>Suspended Seller Account</t>
        </is>
      </c>
      <c r="D6" s="4" t="inlineStr">
        <is>
          <t>Seller</t>
        </is>
      </c>
      <c r="E6" s="20" t="inlineStr">
        <is>
          <t>Username: 'suspended_seller_qa' | Email: 'suspended@workvence.test' | Password: '[PLACEHOLDER_SECURE_PASS_03]'</t>
        </is>
      </c>
      <c r="F6" s="3" t="inlineStr">
        <is>
          <t>Set isSuspended: true on seller user record in staging database.</t>
        </is>
      </c>
      <c r="G6" s="3" t="inlineStr">
        <is>
          <t>Keep in suspended state to verify restricted route redirects.</t>
        </is>
      </c>
      <c r="H6" s="3" t="inlineStr">
        <is>
          <t>SEL-017, SEL-018, SEL-019, SEL-020, SEC-003</t>
        </is>
      </c>
      <c r="I6" s="3" t="inlineStr">
        <is>
          <t>Must trigger redirect to /seller/suspended when attempting to access /organize.</t>
        </is>
      </c>
    </row>
    <row r="7" ht="45" customHeight="1">
      <c r="A7" s="5" t="inlineStr">
        <is>
          <t>DATA-AUTH-04</t>
        </is>
      </c>
      <c r="B7" s="6" t="inlineStr">
        <is>
          <t>Authentication</t>
        </is>
      </c>
      <c r="C7" s="6" t="inlineStr">
        <is>
          <t>Super Admin Account</t>
        </is>
      </c>
      <c r="D7" s="7" t="inlineStr">
        <is>
          <t>Admin</t>
        </is>
      </c>
      <c r="E7" s="25" t="inlineStr">
        <is>
          <t>Username: 'super_admin_qa' | Email: 'admin.qa@workvence.test' | Password: '[PLACEHOLDER_SECURE_PASS_04]'</t>
        </is>
      </c>
      <c r="F7" s="6" t="inlineStr">
        <is>
          <t>Set role: 'admin' or isAdmin: true on user record.</t>
        </is>
      </c>
      <c r="G7" s="6" t="inlineStr">
        <is>
          <t>Do not delete; use exclusively for admin portal verification.</t>
        </is>
      </c>
      <c r="H7" s="6" t="inlineStr">
        <is>
          <t>ADM-001..ADM-014, SEC-004</t>
        </is>
      </c>
      <c r="I7" s="6" t="inlineStr">
        <is>
          <t>Requires role='admin' cookie for Next.js proxy route bypass.</t>
        </is>
      </c>
    </row>
    <row r="8" ht="45" customHeight="1">
      <c r="A8" s="2" t="inlineStr">
        <is>
          <t>DATA-GIG-01</t>
        </is>
      </c>
      <c r="B8" s="3" t="inlineStr">
        <is>
          <t>Package Studio</t>
        </is>
      </c>
      <c r="C8" s="3" t="inlineStr">
        <is>
          <t>Standard 3-Tier Gig Payload</t>
        </is>
      </c>
      <c r="D8" s="4" t="inlineStr">
        <is>
          <t>Seller</t>
        </is>
      </c>
      <c r="E8" s="20" t="inlineStr">
        <is>
          <t>Title: 'I will build a high-performance modern Next.js SaaS website' | Category: 'Web Development' | Subcategory: 'Frontend Development' | Tags: ['nextjs', 'react', 'typescript', 'tailwind', 'saas'] | Basic: $150 (3 days, 2 revisions) | Standard: $300 (5 days, 4 revisions) | Premium: $600 (7 days, unlimited)</t>
        </is>
      </c>
      <c r="F8" s="3" t="inlineStr">
        <is>
          <t>Fill via /organize form or POST /api/gigs.</t>
        </is>
      </c>
      <c r="G8" s="3" t="inlineStr">
        <is>
          <t>Delete or archive created test gigs via /my-packages after test execution.</t>
        </is>
      </c>
      <c r="H8" s="3" t="inlineStr">
        <is>
          <t>PKG-001, PKG-002, PKG-003, PKG-009, PKG-012</t>
        </is>
      </c>
      <c r="I8" s="3" t="inlineStr">
        <is>
          <t>Must adhere to NestJS strict whitelist DTO rules.</t>
        </is>
      </c>
    </row>
    <row r="9" ht="45" customHeight="1">
      <c r="A9" s="5" t="inlineStr">
        <is>
          <t>DATA-BRIEF-01</t>
        </is>
      </c>
      <c r="B9" s="6" t="inlineStr">
        <is>
          <t>Briefs &amp; Proposals</t>
        </is>
      </c>
      <c r="C9" s="6" t="inlineStr">
        <is>
          <t>Standard Project Brief Payload</t>
        </is>
      </c>
      <c r="D9" s="7" t="inlineStr">
        <is>
          <t>Buyer</t>
        </is>
      </c>
      <c r="E9" s="25" t="inlineStr">
        <is>
          <t>Title: 'Design and develop fullstack fintech dashboard with real-time analytics' | Category: 'Web Development' | Budget: $1500 | Delivery: 14 days | Description: 'Looking for a senior fullstack engineer with React, Next.js, and Node experience.'</t>
        </is>
      </c>
      <c r="F9" s="6" t="inlineStr">
        <is>
          <t>Post via /briefs/create or trigger 'Create with AI' button.</t>
        </is>
      </c>
      <c r="G9" s="6" t="inlineStr">
        <is>
          <t>Close or delete brief via /briefs/my-briefs.</t>
        </is>
      </c>
      <c r="H9" s="6" t="inlineStr">
        <is>
          <t>BRF-004, BRF-005, BRF-006, BRF-009, BRF-012</t>
        </is>
      </c>
      <c r="I9" s="6" t="inlineStr">
        <is>
          <t>Used to test proposal submission and AI match scoring.</t>
        </is>
      </c>
    </row>
    <row r="10" ht="45" customHeight="1">
      <c r="A10" s="2" t="inlineStr">
        <is>
          <t>DATA-PROP-01</t>
        </is>
      </c>
      <c r="B10" s="3" t="inlineStr">
        <is>
          <t>Briefs &amp; Proposals</t>
        </is>
      </c>
      <c r="C10" s="3" t="inlineStr">
        <is>
          <t>Seller Proposal Submission Payload</t>
        </is>
      </c>
      <c r="D10" s="4" t="inlineStr">
        <is>
          <t>Seller</t>
        </is>
      </c>
      <c r="E10" s="20" t="inlineStr">
        <is>
          <t>Cover Letter: 'I have 7+ years of experience delivering fintech dashboards with Next.js and Tailwind. Attached are relevant portfolio references.' | Bid: $1350 | Delivery: 10 days | Milestones: [Phase 1 UI ($500), Phase 2 API ($850)]</t>
        </is>
      </c>
      <c r="F10" s="3" t="inlineStr">
        <is>
          <t>Submit via 'Send Proposal' modal on /briefs/[id].</t>
        </is>
      </c>
      <c r="G10" s="3" t="inlineStr">
        <is>
          <t>Withdraw or reject via buyer review portal.</t>
        </is>
      </c>
      <c r="H10" s="3" t="inlineStr">
        <is>
          <t>BRF-010, BRF-011, BRF-013, BRF-019</t>
        </is>
      </c>
      <c r="I10" s="3" t="inlineStr">
        <is>
          <t>Validates seller bid limits and character counters.</t>
        </is>
      </c>
    </row>
    <row r="11" ht="45" customHeight="1">
      <c r="A11" s="5" t="inlineStr">
        <is>
          <t>DATA-PAY-01</t>
        </is>
      </c>
      <c r="B11" s="6" t="inlineStr">
        <is>
          <t>Checkout &amp; Payments</t>
        </is>
      </c>
      <c r="C11" s="6" t="inlineStr">
        <is>
          <t>Stripe Test Mode Credit Cards</t>
        </is>
      </c>
      <c r="D11" s="7" t="inlineStr">
        <is>
          <t>Buyer</t>
        </is>
      </c>
      <c r="E11" s="25" t="inlineStr">
        <is>
          <t>Success: 4242 4242 4242 4242 | Expiry: 12/28 | CVC: 123 | Zip: 90210
Declined: 4000 0000 0000 0002
Insufficient Funds: 4000 0000 0000 0999
3D Secure Authentication Required: 4000 0000 0000 3155</t>
        </is>
      </c>
      <c r="F11" s="6" t="inlineStr">
        <is>
          <t>Ensure backend is configured with Stripe Test API keys (sk_test_...).</t>
        </is>
      </c>
      <c r="G11" s="6" t="inlineStr">
        <is>
          <t>Stripe automatically manages test transactions; no financial impact.</t>
        </is>
      </c>
      <c r="H11" s="6" t="inlineStr">
        <is>
          <t>PAY-001, PAY-002, PAY-003, PAY-004, PAY-005</t>
        </is>
      </c>
      <c r="I11" s="6" t="inlineStr">
        <is>
          <t>Never use real credit card numbers in tests!</t>
        </is>
      </c>
    </row>
    <row r="12" ht="45" customHeight="1">
      <c r="A12" s="2" t="inlineStr">
        <is>
          <t>DATA-FILE-01</t>
        </is>
      </c>
      <c r="B12" s="3" t="inlineStr">
        <is>
          <t>Media Uploads</t>
        </is>
      </c>
      <c r="C12" s="3" t="inlineStr">
        <is>
          <t>Standard Test Media Files</t>
        </is>
      </c>
      <c r="D12" s="4" t="inlineStr">
        <is>
          <t>Any</t>
        </is>
      </c>
      <c r="E12" s="20" t="inlineStr">
        <is>
          <t>Cover Image: test-cover.png (1200x800, 350KB PNG)
Avatar: test-avatar.jpg (400x400, 120KB JPG)
Deliverable ZIP: test-deliverable.zip (2.4MB ZIP with sample code)
KYC Passport: test-passport.jpg (800x600, 450KB JPG)</t>
        </is>
      </c>
      <c r="F12" s="3" t="inlineStr">
        <is>
          <t>Use files located in tests/test-data/assets/ or mock files.</t>
        </is>
      </c>
      <c r="G12" s="3" t="inlineStr">
        <is>
          <t>Cleaned up automatically by test runners or test assertions.</t>
        </is>
      </c>
      <c r="H12" s="3" t="inlineStr">
        <is>
          <t>PKG-007, PRF-002, ORD-009, SEL-012</t>
        </is>
      </c>
      <c r="I12" s="3" t="inlineStr">
        <is>
          <t>Verify MIME type validation on frontend and backend.</t>
        </is>
      </c>
    </row>
    <row r="13" ht="45" customHeight="1">
      <c r="A13" s="5" t="inlineStr">
        <is>
          <t>DATA-EDGE-01</t>
        </is>
      </c>
      <c r="B13" s="6" t="inlineStr">
        <is>
          <t>Security &amp; Boundary</t>
        </is>
      </c>
      <c r="C13" s="6" t="inlineStr">
        <is>
          <t>XSS &amp; HTML Injection Test Payloads</t>
        </is>
      </c>
      <c r="D13" s="7" t="inlineStr">
        <is>
          <t>Any</t>
        </is>
      </c>
      <c r="E13" s="25" t="inlineStr">
        <is>
          <t>Payload 1: &lt;script&gt;alert('XSS')&lt;/script&gt;
Payload 2: &lt;img src=x onerror=alert('XSS')&gt;
Payload 3: "&gt;&lt;script&gt;console.log(document.cookie)&lt;/script&gt;
Payload 4: javascript:alert(1)</t>
        </is>
      </c>
      <c r="F13" s="6" t="inlineStr">
        <is>
          <t>Inject into title, description, chat message, and brief fields.</t>
        </is>
      </c>
      <c r="G13" s="6" t="inlineStr">
        <is>
          <t>Verify that text is properly escaped and rendered as text, not executed.</t>
        </is>
      </c>
      <c r="H13" s="6" t="inlineStr">
        <is>
          <t>SEC-008, SEC-009, MSG-014, PKG-021</t>
        </is>
      </c>
      <c r="I13" s="6" t="inlineStr">
        <is>
          <t>Zero script execution allowed.</t>
        </is>
      </c>
    </row>
    <row r="14" ht="45" customHeight="1">
      <c r="A14" s="2" t="inlineStr">
        <is>
          <t>DATA-BOUND-01</t>
        </is>
      </c>
      <c r="B14" s="3" t="inlineStr">
        <is>
          <t>Boundary Testing</t>
        </is>
      </c>
      <c r="C14" s="3" t="inlineStr">
        <is>
          <t>Length &amp; Character Limit Boundary Data</t>
        </is>
      </c>
      <c r="D14" s="4" t="inlineStr">
        <is>
          <t>Any</t>
        </is>
      </c>
      <c r="E14" s="20" t="inlineStr">
        <is>
          <t>Min Title: 'I will' (6 chars - invalid, must exceed minimum)
Max Title: 80 characters exact
Max Description: 4000 characters exact
Min Price: $5.00 | Max Price: $10,000.00
Tags: Exactly 5 tags | Max Tag Length: 20 characters</t>
        </is>
      </c>
      <c r="F14" s="3" t="inlineStr">
        <is>
          <t>Test boundary thresholds on /organize and /briefs/create forms.</t>
        </is>
      </c>
      <c r="G14" s="3" t="inlineStr">
        <is>
          <t>Discard invalid form drafts.</t>
        </is>
      </c>
      <c r="H14" s="3" t="inlineStr">
        <is>
          <t>PKG-002, PKG-003, PKG-004, BRF-007</t>
        </is>
      </c>
      <c r="I14" s="3" t="inlineStr">
        <is>
          <t>Verify boundary validation toasts and inline error messages.</t>
        </is>
      </c>
    </row>
  </sheetData>
  <autoFilter ref="A3:I14"/>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1"/>
  <sheetViews>
    <sheetView showGridLines="1" workbookViewId="0">
      <selection activeCell="A1" sqref="A1"/>
    </sheetView>
  </sheetViews>
  <sheetFormatPr baseColWidth="8" defaultRowHeight="15"/>
  <cols>
    <col width="110" customWidth="1" min="1" max="1"/>
  </cols>
  <sheetData>
    <row r="1" ht="28" customHeight="1">
      <c r="A1" s="28" t="inlineStr">
        <is>
          <t>WORKVENCE MANUAL QA TEST SUITE &amp; OPERATING MANUAL</t>
        </is>
      </c>
    </row>
    <row r="2" ht="22" customHeight="1">
      <c r="A2" s="29" t="inlineStr">
        <is>
          <t>Welcome to the official manual quality assurance test suite for the Workvence freelance marketplace platform.</t>
        </is>
      </c>
    </row>
    <row r="3" ht="22" customHeight="1">
      <c r="A3" s="29" t="inlineStr">
        <is>
          <t>This workbook contains an exhaustive, codebase-audited inventory of 248 manual test cases covering all 83 routes and 12 core functional modules.</t>
        </is>
      </c>
    </row>
    <row r="5" ht="28" customHeight="1">
      <c r="A5" s="30" t="inlineStr">
        <is>
          <t>1. HOW TO USE THIS WORKBOOK</t>
        </is>
      </c>
    </row>
    <row r="6" ht="22" customHeight="1">
      <c r="A6" s="29" t="inlineStr">
        <is>
          <t>• SHEET 1 ('TEST CASES'): The master execution table. Filter test cases by Module, Priority, User Role, or Viewport to plan daily test runs.</t>
        </is>
      </c>
    </row>
    <row r="7" ht="22" customHeight="1">
      <c r="A7" s="29" t="inlineStr">
        <is>
          <t>• SHEET 2 ('TEST EXECUTION SUMMARY'): Displays live KPI metrics, completion percentages, priority breakdowns, and pass-rate formulas.</t>
        </is>
      </c>
    </row>
    <row r="8" ht="22" customHeight="1">
      <c r="A8" s="29" t="inlineStr">
        <is>
          <t>• SHEET 3 ('MODULE COVERAGE'): Provides granular tracking across all 12 modules with automated test counters.</t>
        </is>
      </c>
    </row>
    <row r="9" ht="22" customHeight="1">
      <c r="A9" s="29" t="inlineStr">
        <is>
          <t>• SHEET 4 ('DEFECT LOG'): Standardized bug tracking template. Log any defect discovered with reproducibility steps and evidence.</t>
        </is>
      </c>
    </row>
    <row r="10" ht="22" customHeight="1">
      <c r="A10" s="29" t="inlineStr">
        <is>
          <t>• SHEET 5 ('ROUTE INVENTORY'): Comprehensive map of all 83 routes discovered in the Workvence codebase with RBAC access rules.</t>
        </is>
      </c>
    </row>
    <row r="11" ht="22" customHeight="1">
      <c r="A11" s="29" t="inlineStr">
        <is>
          <t>• SHEET 6 ('TEST DATA'): Safe, standardized test data placeholders for repeatable and secure execution.</t>
        </is>
      </c>
    </row>
    <row r="13" ht="28" customHeight="1">
      <c r="A13" s="30" t="inlineStr">
        <is>
          <t>2. MANUAL TEST EXECUTION PROTOCOL</t>
        </is>
      </c>
    </row>
    <row r="14" ht="22" customHeight="1">
      <c r="A14" s="29" t="inlineStr">
        <is>
          <t>1. Select a test case from 'TEST CASES' (e.g. AUTH-001 or ORD-009).</t>
        </is>
      </c>
    </row>
    <row r="15" ht="22" customHeight="1">
      <c r="A15" s="29" t="inlineStr">
        <is>
          <t>2. Prepare the environment and test account specified in 'Preconditions' and 'Test Data' (consult Sheet 6).</t>
        </is>
      </c>
    </row>
    <row r="16" ht="22" customHeight="1">
      <c r="A16" s="29" t="inlineStr">
        <is>
          <t>3. Execute the numbered steps in 'Test Steps' exactly as described.</t>
        </is>
      </c>
    </row>
    <row r="17" ht="22" customHeight="1">
      <c r="A17" s="29" t="inlineStr">
        <is>
          <t>4. Observe application behavior against 'Expected Result'.</t>
        </is>
      </c>
    </row>
    <row r="18" ht="22" customHeight="1">
      <c r="A18" s="29" t="inlineStr">
        <is>
          <t>5. Update the 'Status' column (Column N) using the dropdown:</t>
        </is>
      </c>
    </row>
    <row r="19" ht="22" customHeight="1">
      <c r="A19" s="29" t="inlineStr">
        <is>
          <t xml:space="preserve">   - 'Pass': The observed result matches expected behavior completely.</t>
        </is>
      </c>
    </row>
    <row r="20" ht="22" customHeight="1">
      <c r="A20" s="29" t="inlineStr">
        <is>
          <t xml:space="preserve">   - 'Fail': A discrepancy, error, visual defect, or crash occurs.</t>
        </is>
      </c>
    </row>
    <row r="21" ht="22" customHeight="1">
      <c r="A21" s="29" t="inlineStr">
        <is>
          <t xml:space="preserve">   - 'Blocked': Preconditions cannot be met due to a blocker bug or environment outage.</t>
        </is>
      </c>
    </row>
    <row r="22" ht="22" customHeight="1">
      <c r="A22" s="29" t="inlineStr">
        <is>
          <t xml:space="preserve">   - 'Not Applicable': Test does not apply to current test environment build.</t>
        </is>
      </c>
    </row>
    <row r="23" ht="22" customHeight="1">
      <c r="A23" s="29" t="inlineStr">
        <is>
          <t>6. Record 'Actual Result', your name in 'Tester', and date in 'Test Date'.</t>
        </is>
      </c>
    </row>
    <row r="24" ht="22" customHeight="1">
      <c r="A24" s="29" t="inlineStr">
        <is>
          <t>7. If a test fails, log a corresponding issue in Sheet 4 ('DEFECT LOG') and record the Defect ID in Column P.</t>
        </is>
      </c>
    </row>
    <row r="26" ht="28" customHeight="1">
      <c r="A26" s="30" t="inlineStr">
        <is>
          <t>3. PRIORITY DEFINITIONS &amp; SLAs</t>
        </is>
      </c>
    </row>
    <row r="27" ht="22" customHeight="1">
      <c r="A27" s="29" t="inlineStr">
        <is>
          <t>• P1 — Critical: Authentication, authorization, payments, checkout, order creation, work delivery, escrow completion, admin access guards. Must be executed first.</t>
        </is>
      </c>
    </row>
    <row r="28" ht="22" customHeight="1">
      <c r="A28" s="29" t="inlineStr">
        <is>
          <t>• P2 — High: Primary user journeys, catalog filtering, briefs proposals, search, profile editing, real-time messaging, notification center.</t>
        </is>
      </c>
    </row>
    <row r="29" ht="22" customHeight="1">
      <c r="A29" s="29" t="inlineStr">
        <is>
          <t>• P3 — Medium: Secondary features, FAQ accordions, marketing banners, sorting toggles, empty state placeholders.</t>
        </is>
      </c>
    </row>
    <row r="30" ht="22" customHeight="1">
      <c r="A30" s="29" t="inlineStr">
        <is>
          <t>• P4 — Low: Minor cosmetic adjustments, subtle typography spacing, and non-blocking layout polishes.</t>
        </is>
      </c>
    </row>
    <row r="32" ht="28" customHeight="1">
      <c r="A32" s="30" t="inlineStr">
        <is>
          <t>4. TARGET VIEWPORTS &amp; DEVICES</t>
        </is>
      </c>
    </row>
    <row r="33" ht="22" customHeight="1">
      <c r="A33" s="29" t="inlineStr">
        <is>
          <t>• Mobile Viewports: 375 × 812 (iPhone X/Mini), 390 × 844 (iPhone 14/15 Pro), 414 × 896 (Plus/Max). Audit for zero horizontal scroll.</t>
        </is>
      </c>
    </row>
    <row r="34" ht="22" customHeight="1">
      <c r="A34" s="29" t="inlineStr">
        <is>
          <t>• Tablet Viewports: 768 × 1024 (iPad Mini/Air), 834 × 1112 (iPad Pro 11"). Verify 2-column card reflow and drawer navigation.</t>
        </is>
      </c>
    </row>
    <row r="35" ht="22" customHeight="1">
      <c r="A35" s="29" t="inlineStr">
        <is>
          <t>• Laptop Viewports: 1024 × 768, 1280 × 800, 1440 × 900 (MacBook Air/Pro).</t>
        </is>
      </c>
    </row>
    <row r="36" ht="22" customHeight="1">
      <c r="A36" s="29" t="inlineStr">
        <is>
          <t>• Desktop Viewports: 1920 × 1080 (Full HD Desktop).</t>
        </is>
      </c>
    </row>
    <row r="38" ht="28" customHeight="1">
      <c r="A38" s="30" t="inlineStr">
        <is>
          <t>5. SECURITY &amp; DATA SAFETY POLICY</t>
        </is>
      </c>
    </row>
    <row r="39" ht="22" customHeight="1">
      <c r="A39" s="29" t="inlineStr">
        <is>
          <t>• NEVER record real production passwords, active API tokens, private encryption keys, or customer personal information in this workbook.</t>
        </is>
      </c>
    </row>
    <row r="40" ht="22" customHeight="1">
      <c r="A40" s="29" t="inlineStr">
        <is>
          <t>• Always use safe test placeholders (e.g. buyer.qa@workvence.test, Stripe test card 4242...).</t>
        </is>
      </c>
    </row>
    <row r="41" ht="22" customHeight="1">
      <c r="A41" s="29" t="inlineStr">
        <is>
          <t>• All test accounts must be isolated to non-production staging environments.</t>
        </is>
      </c>
    </row>
  </sheetData>
  <mergeCells count="36">
    <mergeCell ref="A9:H9"/>
    <mergeCell ref="A30:H30"/>
    <mergeCell ref="A39:H39"/>
    <mergeCell ref="A15:H15"/>
    <mergeCell ref="A24:H24"/>
    <mergeCell ref="A36:H36"/>
    <mergeCell ref="A11:H11"/>
    <mergeCell ref="A1:H1"/>
    <mergeCell ref="A6:H6"/>
    <mergeCell ref="A7:H7"/>
    <mergeCell ref="A16:H16"/>
    <mergeCell ref="A41:H41"/>
    <mergeCell ref="A27:H27"/>
    <mergeCell ref="A18:H18"/>
    <mergeCell ref="A3:H3"/>
    <mergeCell ref="A21:H21"/>
    <mergeCell ref="A26:H26"/>
    <mergeCell ref="A2:H2"/>
    <mergeCell ref="A33:H33"/>
    <mergeCell ref="A14:H14"/>
    <mergeCell ref="A5:H5"/>
    <mergeCell ref="A23:H23"/>
    <mergeCell ref="A32:H32"/>
    <mergeCell ref="A8:H8"/>
    <mergeCell ref="A22:H22"/>
    <mergeCell ref="A17:H17"/>
    <mergeCell ref="A40:H40"/>
    <mergeCell ref="A29:H29"/>
    <mergeCell ref="A35:H35"/>
    <mergeCell ref="A20:H20"/>
    <mergeCell ref="A38:H38"/>
    <mergeCell ref="A10:H10"/>
    <mergeCell ref="A28:H28"/>
    <mergeCell ref="A13:H13"/>
    <mergeCell ref="A19:H19"/>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2026-09-27T04:55:39Z</dcterms:created>
  <dcterms:modified xsi:type="dcterms:W3CDTF">2026-09-27T04:55:40Z</dcterms:modified>
</cp:coreProperties>
</file>